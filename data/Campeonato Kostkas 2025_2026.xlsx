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" sheetId="1" r:id="rId5"/>
    <sheet state="visible" name="Resultados" sheetId="2" r:id="rId6"/>
    <sheet state="visible" name="Reglas" sheetId="3" r:id="rId7"/>
  </sheets>
  <definedNames/>
  <calcPr/>
</workbook>
</file>

<file path=xl/sharedStrings.xml><?xml version="1.0" encoding="utf-8"?>
<sst xmlns="http://schemas.openxmlformats.org/spreadsheetml/2006/main" count="127" uniqueCount="84">
  <si>
    <t>Nº</t>
  </si>
  <si>
    <t>Fecha</t>
  </si>
  <si>
    <t>Jugadores</t>
  </si>
  <si>
    <t>Ander</t>
  </si>
  <si>
    <t>Aitor A.</t>
  </si>
  <si>
    <t>Aitor Z.</t>
  </si>
  <si>
    <t>Chocarro</t>
  </si>
  <si>
    <t>David Culé</t>
  </si>
  <si>
    <t>David Ras</t>
  </si>
  <si>
    <t>Eddy</t>
  </si>
  <si>
    <t>Enrique</t>
  </si>
  <si>
    <t>Fer</t>
  </si>
  <si>
    <t>Iñaki</t>
  </si>
  <si>
    <t>Miguel T.</t>
  </si>
  <si>
    <t>Oscar</t>
  </si>
  <si>
    <t>Raúl</t>
  </si>
  <si>
    <t>Ritxo</t>
  </si>
  <si>
    <t>Sixers</t>
  </si>
  <si>
    <t>Telmo</t>
  </si>
  <si>
    <t>Txus</t>
  </si>
  <si>
    <t>Unai</t>
  </si>
  <si>
    <t>Xabi</t>
  </si>
  <si>
    <t>Zapas</t>
  </si>
  <si>
    <t>Borja</t>
  </si>
  <si>
    <t>Hidalgo</t>
  </si>
  <si>
    <t>Jesús</t>
  </si>
  <si>
    <t>Jon A.</t>
  </si>
  <si>
    <t>Ricky</t>
  </si>
  <si>
    <t>Iker</t>
  </si>
  <si>
    <t>Xabi BK</t>
  </si>
  <si>
    <t>Pablo Bk</t>
  </si>
  <si>
    <t>Lander</t>
  </si>
  <si>
    <t>Javi BK</t>
  </si>
  <si>
    <t>Moha BK</t>
  </si>
  <si>
    <t>Jonathan BK</t>
  </si>
  <si>
    <t>Gio BK</t>
  </si>
  <si>
    <t>Laura</t>
  </si>
  <si>
    <t>David arg.</t>
  </si>
  <si>
    <t>Íñigo</t>
  </si>
  <si>
    <t>Korta</t>
  </si>
  <si>
    <t>Javi Temprano</t>
  </si>
  <si>
    <t>Mikel</t>
  </si>
  <si>
    <t>Antonio</t>
  </si>
  <si>
    <t>Minde</t>
  </si>
  <si>
    <t xml:space="preserve">  Campeonato Kostkas 2025-2026</t>
  </si>
  <si>
    <t>Fecha:</t>
  </si>
  <si>
    <t>Jugados:</t>
  </si>
  <si>
    <t>Jugados</t>
  </si>
  <si>
    <t>Ganados</t>
  </si>
  <si>
    <t>Puntos</t>
  </si>
  <si>
    <t>%</t>
  </si>
  <si>
    <t>25%?</t>
  </si>
  <si>
    <t>Racha</t>
  </si>
  <si>
    <t>Top Puntos</t>
  </si>
  <si>
    <t>Top Jugados</t>
  </si>
  <si>
    <t>Top Eficiencia (25% Partidos)</t>
  </si>
  <si>
    <t>MVP por mes</t>
  </si>
  <si>
    <t>🥇</t>
  </si>
  <si>
    <t>Octubre</t>
  </si>
  <si>
    <t>🏆 Txus</t>
  </si>
  <si>
    <t>Aitor Andonegi</t>
  </si>
  <si>
    <t>🥈</t>
  </si>
  <si>
    <t>Noviembre</t>
  </si>
  <si>
    <t>Aitor Zuñiga</t>
  </si>
  <si>
    <t>🥉</t>
  </si>
  <si>
    <t>Diciembre</t>
  </si>
  <si>
    <t>🏆 Txus &amp; Aitor A.</t>
  </si>
  <si>
    <t>Enero</t>
  </si>
  <si>
    <t>Febrero</t>
  </si>
  <si>
    <t>Marzo</t>
  </si>
  <si>
    <t>Abril</t>
  </si>
  <si>
    <t>Mayo</t>
  </si>
  <si>
    <t>Junio</t>
  </si>
  <si>
    <t>Julio</t>
  </si>
  <si>
    <t>Óscar</t>
  </si>
  <si>
    <t>Pablo BK</t>
  </si>
  <si>
    <t>David Arg.</t>
  </si>
  <si>
    <t>Campeonato Kostkas 2025/2026</t>
  </si>
  <si>
    <t>¿Por qué? Para dar un poco más de vida a esta temporada hacemos un campeonato individual.</t>
  </si>
  <si>
    <t>Por cada partido jugado 1 punto, ganado 2 puntos. Así se premia la asistencia.</t>
  </si>
  <si>
    <t>Mínimo partidos de 4x4 a &gt;30 puntos.</t>
  </si>
  <si>
    <t>Al final de año 2 trofeos: Campéon (más puntos), Regularidad (Mejor porcentaje de victorias)</t>
  </si>
  <si>
    <t>Se apunta al final de cada día los partidos en una hoja de cálculo compartida.</t>
  </si>
  <si>
    <t>Si un partido no se acaba por tiempo, pero un equipo va ganando y pasa de 20 puntos, cuenta como victoria.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</si>
</sst>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/m/yyyy"/>
    <numFmt numFmtId="166" formatCode="dd/mm/yyyy"/>
  </numFmts>
  <fonts count="13">
    <font>
      <sz val="10.0"/>
      <color rgb="FF000000"/>
      <name val="Arial"/>
      <scheme val="minor"/>
    </font>
    <font>
      <b/>
      <color rgb="FF999999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color rgb="FF999999"/>
      <name val="Arial"/>
    </font>
    <font>
      <b/>
      <sz val="22.0"/>
      <color rgb="FFFFFFFF"/>
      <name val="Arial"/>
      <scheme val="minor"/>
    </font>
    <font>
      <sz val="10.0"/>
      <color theme="1"/>
      <name val="Arial"/>
      <scheme val="minor"/>
    </font>
    <font>
      <sz val="6.0"/>
      <color theme="1"/>
      <name val="Arial"/>
      <scheme val="minor"/>
    </font>
    <font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textRotation="45"/>
    </xf>
    <xf borderId="0" fillId="0" fontId="2" numFmtId="0" xfId="0" applyAlignment="1" applyFont="1">
      <alignment readingOrder="0" textRotation="45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Font="1"/>
    <xf borderId="0" fillId="0" fontId="3" numFmtId="165" xfId="0" applyAlignment="1" applyFont="1" applyNumberFormat="1">
      <alignment readingOrder="0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5" numFmtId="165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2" fontId="9" numFmtId="0" xfId="0" applyAlignment="1" applyFill="1" applyFont="1">
      <alignment readingOrder="0" vertical="center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3" numFmtId="0" xfId="0" applyFont="1"/>
    <xf borderId="0" fillId="2" fontId="5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3" numFmtId="0" xfId="0" applyFont="1"/>
    <xf borderId="0" fillId="3" fontId="5" numFmtId="0" xfId="0" applyAlignment="1" applyFont="1">
      <alignment vertical="bottom"/>
    </xf>
    <xf borderId="0" fillId="3" fontId="2" numFmtId="16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5" numFmtId="0" xfId="0" applyAlignment="1" applyFont="1">
      <alignment vertical="bottom"/>
    </xf>
    <xf borderId="0" fillId="4" fontId="3" numFmtId="0" xfId="0" applyFont="1"/>
    <xf borderId="0" fillId="0" fontId="2" numFmtId="0" xfId="0" applyAlignment="1" applyFont="1">
      <alignment readingOrder="0"/>
    </xf>
    <xf borderId="0" fillId="0" fontId="0" numFmtId="0" xfId="0" applyFont="1"/>
    <xf borderId="0" fillId="0" fontId="10" numFmtId="3" xfId="0" applyFont="1" applyNumberFormat="1"/>
    <xf borderId="0" fillId="0" fontId="3" numFmtId="10" xfId="0" applyFont="1" applyNumberFormat="1"/>
    <xf borderId="0" fillId="0" fontId="3" numFmtId="0" xfId="0" applyFont="1"/>
    <xf borderId="0" fillId="0" fontId="11" numFmtId="0" xfId="0" applyAlignment="1" applyFont="1">
      <alignment horizontal="left" vertical="center"/>
    </xf>
    <xf borderId="0" fillId="5" fontId="3" numFmtId="3" xfId="0" applyAlignment="1" applyFill="1" applyFont="1" applyNumberFormat="1">
      <alignment readingOrder="0"/>
    </xf>
    <xf borderId="0" fillId="5" fontId="3" numFmtId="3" xfId="0" applyFont="1" applyNumberFormat="1"/>
    <xf borderId="0" fillId="5" fontId="3" numFmtId="0" xfId="0" applyFont="1"/>
    <xf borderId="0" fillId="5" fontId="5" numFmtId="3" xfId="0" applyAlignment="1" applyFont="1" applyNumberFormat="1">
      <alignment vertical="bottom"/>
    </xf>
    <xf borderId="0" fillId="5" fontId="3" numFmtId="10" xfId="0" applyFont="1" applyNumberFormat="1"/>
    <xf borderId="0" fillId="0" fontId="2" numFmtId="0" xfId="0" applyAlignment="1" applyFont="1">
      <alignment readingOrder="0"/>
    </xf>
    <xf borderId="0" fillId="6" fontId="3" numFmtId="0" xfId="0" applyFill="1" applyFont="1"/>
    <xf borderId="0" fillId="7" fontId="3" numFmtId="0" xfId="0" applyAlignment="1" applyFill="1" applyFont="1">
      <alignment readingOrder="0"/>
    </xf>
    <xf borderId="0" fillId="7" fontId="3" numFmtId="3" xfId="0" applyFont="1" applyNumberFormat="1"/>
    <xf borderId="0" fillId="7" fontId="3" numFmtId="0" xfId="0" applyFont="1"/>
    <xf borderId="0" fillId="7" fontId="5" numFmtId="0" xfId="0" applyAlignment="1" applyFont="1">
      <alignment vertical="bottom"/>
    </xf>
    <xf borderId="0" fillId="7" fontId="3" numFmtId="10" xfId="0" applyFont="1" applyNumberFormat="1"/>
    <xf borderId="0" fillId="8" fontId="3" numFmtId="0" xfId="0" applyAlignment="1" applyFill="1" applyFont="1">
      <alignment readingOrder="0"/>
    </xf>
    <xf borderId="0" fillId="8" fontId="3" numFmtId="3" xfId="0" applyFont="1" applyNumberFormat="1"/>
    <xf borderId="0" fillId="8" fontId="3" numFmtId="0" xfId="0" applyFont="1"/>
    <xf borderId="0" fillId="8" fontId="5" numFmtId="0" xfId="0" applyAlignment="1" applyFont="1">
      <alignment vertical="bottom"/>
    </xf>
    <xf borderId="0" fillId="8" fontId="3" numFmtId="10" xfId="0" applyFont="1" applyNumberFormat="1"/>
    <xf borderId="0" fillId="0" fontId="3" numFmtId="3" xfId="0" applyFont="1" applyNumberFormat="1"/>
    <xf borderId="0" fillId="0" fontId="3" numFmtId="0" xfId="0" applyFont="1"/>
    <xf borderId="0" fillId="0" fontId="3" numFmtId="10" xfId="0" applyFont="1" applyNumberFormat="1"/>
    <xf borderId="0" fillId="0" fontId="12" numFmtId="0" xfId="0" applyFont="1"/>
    <xf borderId="0" fillId="6" fontId="3" numFmtId="0" xfId="0" applyFont="1"/>
    <xf borderId="0" fillId="3" fontId="3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Resultados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H46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sult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3" max="41" width="4.88"/>
    <col customWidth="1" min="42" max="56" width="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">
        <v>1.0</v>
      </c>
      <c r="B2" s="4">
        <v>45932.0</v>
      </c>
      <c r="C2" s="5">
        <f t="shared" ref="C2:C19" si="1">COUNTIF(D2:AO2,"&lt;&gt;")</f>
        <v>12</v>
      </c>
      <c r="E2" s="3">
        <v>2.0</v>
      </c>
      <c r="F2" s="3">
        <v>2.0</v>
      </c>
      <c r="G2" s="3">
        <v>2.0</v>
      </c>
      <c r="J2" s="3">
        <v>1.0</v>
      </c>
      <c r="K2" s="3"/>
      <c r="L2" s="3">
        <v>1.0</v>
      </c>
      <c r="M2" s="3">
        <v>2.0</v>
      </c>
      <c r="O2" s="3">
        <v>2.0</v>
      </c>
      <c r="R2" s="3">
        <v>1.0</v>
      </c>
      <c r="S2" s="3">
        <v>1.0</v>
      </c>
      <c r="T2" s="3">
        <v>2.0</v>
      </c>
      <c r="U2" s="3">
        <v>1.0</v>
      </c>
      <c r="AB2" s="3">
        <v>1.0</v>
      </c>
    </row>
    <row r="3">
      <c r="A3" s="3">
        <v>2.0</v>
      </c>
      <c r="B3" s="6">
        <v>45932.0</v>
      </c>
      <c r="C3" s="5">
        <f t="shared" si="1"/>
        <v>12</v>
      </c>
      <c r="E3" s="3">
        <v>1.0</v>
      </c>
      <c r="F3" s="3">
        <v>1.0</v>
      </c>
      <c r="G3" s="3">
        <v>1.0</v>
      </c>
      <c r="J3" s="3">
        <v>2.0</v>
      </c>
      <c r="K3" s="3"/>
      <c r="L3" s="3">
        <v>2.0</v>
      </c>
      <c r="M3" s="3">
        <v>1.0</v>
      </c>
      <c r="O3" s="3">
        <v>1.0</v>
      </c>
      <c r="R3" s="3">
        <v>2.0</v>
      </c>
      <c r="S3" s="3">
        <v>2.0</v>
      </c>
      <c r="T3" s="3">
        <v>1.0</v>
      </c>
      <c r="U3" s="3">
        <v>2.0</v>
      </c>
      <c r="AB3" s="3">
        <v>2.0</v>
      </c>
    </row>
    <row r="4">
      <c r="A4" s="3">
        <v>3.0</v>
      </c>
      <c r="B4" s="4">
        <v>45937.0</v>
      </c>
      <c r="C4" s="5">
        <f t="shared" si="1"/>
        <v>12</v>
      </c>
      <c r="E4" s="3">
        <v>2.0</v>
      </c>
      <c r="G4" s="3">
        <v>2.0</v>
      </c>
      <c r="H4" s="3">
        <v>1.0</v>
      </c>
      <c r="J4" s="3">
        <v>2.0</v>
      </c>
      <c r="K4" s="3">
        <v>2.0</v>
      </c>
      <c r="L4" s="3">
        <v>1.0</v>
      </c>
      <c r="O4" s="3">
        <v>1.0</v>
      </c>
      <c r="R4" s="3">
        <v>2.0</v>
      </c>
      <c r="T4" s="3">
        <v>1.0</v>
      </c>
      <c r="U4" s="3">
        <v>1.0</v>
      </c>
      <c r="AB4" s="3">
        <v>2.0</v>
      </c>
      <c r="AD4" s="3">
        <v>1.0</v>
      </c>
    </row>
    <row r="5">
      <c r="A5" s="3">
        <v>4.0</v>
      </c>
      <c r="B5" s="7">
        <v>45937.0</v>
      </c>
      <c r="C5" s="5">
        <f t="shared" si="1"/>
        <v>12</v>
      </c>
      <c r="D5" s="8"/>
      <c r="E5" s="8">
        <v>2.0</v>
      </c>
      <c r="F5" s="9"/>
      <c r="G5" s="9">
        <v>2.0</v>
      </c>
      <c r="H5" s="8">
        <v>1.0</v>
      </c>
      <c r="I5" s="8"/>
      <c r="J5" s="8">
        <v>2.0</v>
      </c>
      <c r="K5" s="8">
        <v>2.0</v>
      </c>
      <c r="L5" s="8">
        <v>1.0</v>
      </c>
      <c r="M5" s="8"/>
      <c r="N5" s="9"/>
      <c r="O5" s="9">
        <v>1.0</v>
      </c>
      <c r="P5" s="8"/>
      <c r="Q5" s="9"/>
      <c r="R5" s="9">
        <v>2.0</v>
      </c>
      <c r="S5" s="9"/>
      <c r="T5" s="8">
        <v>1.0</v>
      </c>
      <c r="U5" s="9">
        <v>1.0</v>
      </c>
      <c r="V5" s="9"/>
      <c r="W5" s="10"/>
      <c r="X5" s="10"/>
      <c r="Y5" s="8"/>
      <c r="Z5" s="8"/>
      <c r="AA5" s="8"/>
      <c r="AB5" s="8">
        <v>2.0</v>
      </c>
      <c r="AC5" s="8"/>
      <c r="AD5" s="9">
        <v>1.0</v>
      </c>
      <c r="AE5" s="11"/>
      <c r="AF5" s="10"/>
      <c r="AG5" s="8"/>
      <c r="AH5" s="12"/>
      <c r="AI5" s="11"/>
      <c r="AJ5" s="11"/>
      <c r="AK5" s="10"/>
      <c r="AL5" s="8"/>
      <c r="AM5" s="8"/>
      <c r="AN5" s="8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</row>
    <row r="6">
      <c r="A6" s="3">
        <v>5.0</v>
      </c>
      <c r="B6" s="7">
        <v>45937.0</v>
      </c>
      <c r="C6" s="5">
        <f t="shared" si="1"/>
        <v>12</v>
      </c>
      <c r="E6" s="3">
        <v>1.0</v>
      </c>
      <c r="G6" s="3">
        <v>1.0</v>
      </c>
      <c r="H6" s="3">
        <v>2.0</v>
      </c>
      <c r="J6" s="3">
        <v>1.0</v>
      </c>
      <c r="K6" s="3">
        <v>1.0</v>
      </c>
      <c r="L6" s="3">
        <v>2.0</v>
      </c>
      <c r="O6" s="3">
        <v>2.0</v>
      </c>
      <c r="R6" s="3">
        <v>1.0</v>
      </c>
      <c r="T6" s="3">
        <v>2.0</v>
      </c>
      <c r="U6" s="3">
        <v>2.0</v>
      </c>
      <c r="AB6" s="3">
        <v>1.0</v>
      </c>
      <c r="AD6" s="3">
        <v>2.0</v>
      </c>
    </row>
    <row r="7">
      <c r="A7" s="3">
        <v>6.0</v>
      </c>
      <c r="B7" s="4">
        <v>45939.0</v>
      </c>
      <c r="C7" s="5">
        <f t="shared" si="1"/>
        <v>12</v>
      </c>
      <c r="E7" s="3">
        <v>2.0</v>
      </c>
      <c r="G7" s="3">
        <v>2.0</v>
      </c>
      <c r="J7" s="3">
        <v>1.0</v>
      </c>
      <c r="L7" s="3">
        <v>1.0</v>
      </c>
      <c r="M7" s="3">
        <v>1.0</v>
      </c>
      <c r="O7" s="3">
        <v>2.0</v>
      </c>
      <c r="R7" s="3">
        <v>2.0</v>
      </c>
      <c r="S7" s="3">
        <v>1.0</v>
      </c>
      <c r="T7" s="3">
        <v>2.0</v>
      </c>
      <c r="U7" s="3">
        <v>1.0</v>
      </c>
      <c r="AB7" s="3">
        <v>2.0</v>
      </c>
      <c r="AD7" s="3">
        <v>1.0</v>
      </c>
    </row>
    <row r="8">
      <c r="A8" s="3">
        <v>7.0</v>
      </c>
      <c r="B8" s="4">
        <v>45939.0</v>
      </c>
      <c r="C8" s="5">
        <f t="shared" si="1"/>
        <v>12</v>
      </c>
      <c r="E8" s="3">
        <v>2.0</v>
      </c>
      <c r="G8" s="3">
        <v>2.0</v>
      </c>
      <c r="J8" s="3">
        <v>1.0</v>
      </c>
      <c r="L8" s="3">
        <v>1.0</v>
      </c>
      <c r="M8" s="3">
        <v>1.0</v>
      </c>
      <c r="O8" s="3">
        <v>2.0</v>
      </c>
      <c r="R8" s="3">
        <v>2.0</v>
      </c>
      <c r="S8" s="3">
        <v>1.0</v>
      </c>
      <c r="T8" s="3">
        <v>2.0</v>
      </c>
      <c r="U8" s="3">
        <v>1.0</v>
      </c>
      <c r="AB8" s="3">
        <v>2.0</v>
      </c>
      <c r="AD8" s="3">
        <v>1.0</v>
      </c>
    </row>
    <row r="9">
      <c r="A9" s="3">
        <v>8.0</v>
      </c>
      <c r="B9" s="4">
        <v>45944.0</v>
      </c>
      <c r="C9" s="5">
        <f t="shared" si="1"/>
        <v>12</v>
      </c>
      <c r="D9" s="3">
        <v>2.0</v>
      </c>
      <c r="E9" s="3">
        <v>1.0</v>
      </c>
      <c r="G9" s="3">
        <v>2.0</v>
      </c>
      <c r="H9" s="3">
        <v>1.0</v>
      </c>
      <c r="I9" s="3">
        <v>2.0</v>
      </c>
      <c r="L9" s="3">
        <v>2.0</v>
      </c>
      <c r="N9" s="3">
        <v>2.0</v>
      </c>
      <c r="P9" s="3">
        <v>1.0</v>
      </c>
      <c r="R9" s="3">
        <v>1.0</v>
      </c>
      <c r="S9" s="3">
        <v>1.0</v>
      </c>
      <c r="T9" s="3">
        <v>1.0</v>
      </c>
      <c r="U9" s="3">
        <v>2.0</v>
      </c>
    </row>
    <row r="10">
      <c r="A10" s="3">
        <v>9.0</v>
      </c>
      <c r="B10" s="4">
        <v>45944.0</v>
      </c>
      <c r="C10" s="5">
        <f t="shared" si="1"/>
        <v>12</v>
      </c>
      <c r="D10" s="3">
        <v>2.0</v>
      </c>
      <c r="E10" s="3">
        <v>1.0</v>
      </c>
      <c r="G10" s="3">
        <v>2.0</v>
      </c>
      <c r="H10" s="3">
        <v>1.0</v>
      </c>
      <c r="I10" s="3">
        <v>2.0</v>
      </c>
      <c r="L10" s="3">
        <v>2.0</v>
      </c>
      <c r="N10" s="3">
        <v>2.0</v>
      </c>
      <c r="P10" s="3">
        <v>1.0</v>
      </c>
      <c r="R10" s="3">
        <v>1.0</v>
      </c>
      <c r="S10" s="3">
        <v>1.0</v>
      </c>
      <c r="T10" s="3">
        <v>1.0</v>
      </c>
      <c r="U10" s="3">
        <v>2.0</v>
      </c>
    </row>
    <row r="11">
      <c r="A11" s="3">
        <v>10.0</v>
      </c>
      <c r="B11" s="4">
        <v>45946.0</v>
      </c>
      <c r="C11" s="5">
        <f t="shared" si="1"/>
        <v>8</v>
      </c>
      <c r="E11" s="3">
        <v>1.0</v>
      </c>
      <c r="J11" s="3">
        <v>2.0</v>
      </c>
      <c r="L11" s="3">
        <v>1.0</v>
      </c>
      <c r="M11" s="3">
        <v>1.0</v>
      </c>
      <c r="O11" s="3">
        <v>1.0</v>
      </c>
      <c r="R11" s="3">
        <v>2.0</v>
      </c>
      <c r="T11" s="3">
        <v>2.0</v>
      </c>
      <c r="U11" s="3">
        <v>2.0</v>
      </c>
    </row>
    <row r="12">
      <c r="A12" s="3">
        <v>11.0</v>
      </c>
      <c r="B12" s="13">
        <v>45946.0</v>
      </c>
      <c r="C12" s="5">
        <f t="shared" si="1"/>
        <v>8</v>
      </c>
      <c r="E12" s="3">
        <v>1.0</v>
      </c>
      <c r="J12" s="3">
        <v>2.0</v>
      </c>
      <c r="L12" s="3">
        <v>1.0</v>
      </c>
      <c r="M12" s="3">
        <v>1.0</v>
      </c>
      <c r="O12" s="3">
        <v>1.0</v>
      </c>
      <c r="R12" s="3">
        <v>2.0</v>
      </c>
      <c r="T12" s="3">
        <v>2.0</v>
      </c>
      <c r="U12" s="3">
        <v>2.0</v>
      </c>
    </row>
    <row r="13">
      <c r="A13" s="3">
        <v>12.0</v>
      </c>
      <c r="B13" s="13">
        <v>45951.0</v>
      </c>
      <c r="C13" s="5">
        <f t="shared" si="1"/>
        <v>12</v>
      </c>
      <c r="D13" s="3">
        <v>1.0</v>
      </c>
      <c r="E13" s="3">
        <v>1.0</v>
      </c>
      <c r="G13" s="3">
        <v>2.0</v>
      </c>
      <c r="H13" s="3">
        <v>2.0</v>
      </c>
      <c r="I13" s="3">
        <v>2.0</v>
      </c>
      <c r="J13" s="3">
        <v>1.0</v>
      </c>
      <c r="N13" s="3">
        <v>1.0</v>
      </c>
      <c r="R13" s="3">
        <v>1.0</v>
      </c>
      <c r="S13" s="3">
        <v>2.0</v>
      </c>
      <c r="T13" s="3">
        <v>2.0</v>
      </c>
      <c r="U13" s="3">
        <v>2.0</v>
      </c>
      <c r="W13" s="3">
        <v>1.0</v>
      </c>
    </row>
    <row r="14">
      <c r="A14" s="3">
        <v>13.0</v>
      </c>
      <c r="B14" s="13">
        <v>45951.0</v>
      </c>
      <c r="C14" s="5">
        <f t="shared" si="1"/>
        <v>12</v>
      </c>
      <c r="D14" s="3">
        <v>1.0</v>
      </c>
      <c r="E14" s="3">
        <v>1.0</v>
      </c>
      <c r="G14" s="3">
        <v>2.0</v>
      </c>
      <c r="H14" s="3">
        <v>2.0</v>
      </c>
      <c r="I14" s="3">
        <v>2.0</v>
      </c>
      <c r="J14" s="3">
        <v>1.0</v>
      </c>
      <c r="N14" s="3">
        <v>1.0</v>
      </c>
      <c r="R14" s="3">
        <v>1.0</v>
      </c>
      <c r="S14" s="3">
        <v>2.0</v>
      </c>
      <c r="T14" s="3">
        <v>2.0</v>
      </c>
      <c r="U14" s="3">
        <v>2.0</v>
      </c>
      <c r="W14" s="3">
        <v>1.0</v>
      </c>
    </row>
    <row r="15">
      <c r="A15" s="3">
        <v>14.0</v>
      </c>
      <c r="B15" s="13">
        <v>45953.0</v>
      </c>
      <c r="C15" s="5">
        <f t="shared" si="1"/>
        <v>11</v>
      </c>
      <c r="G15" s="3">
        <v>2.0</v>
      </c>
      <c r="L15" s="3">
        <v>1.0</v>
      </c>
      <c r="M15" s="3">
        <v>1.0</v>
      </c>
      <c r="O15" s="3">
        <v>2.0</v>
      </c>
      <c r="S15" s="3">
        <v>1.0</v>
      </c>
      <c r="T15" s="3">
        <v>2.0</v>
      </c>
      <c r="U15" s="3">
        <v>2.0</v>
      </c>
      <c r="AA15" s="3">
        <v>1.0</v>
      </c>
      <c r="AD15" s="3">
        <v>2.0</v>
      </c>
      <c r="AE15" s="3">
        <v>2.0</v>
      </c>
      <c r="AF15" s="3">
        <v>1.0</v>
      </c>
    </row>
    <row r="16">
      <c r="A16" s="3">
        <v>15.0</v>
      </c>
      <c r="B16" s="6">
        <v>45953.0</v>
      </c>
      <c r="C16" s="5">
        <f t="shared" si="1"/>
        <v>11</v>
      </c>
      <c r="G16" s="3">
        <v>1.0</v>
      </c>
      <c r="L16" s="3">
        <v>2.0</v>
      </c>
      <c r="M16" s="3">
        <v>2.0</v>
      </c>
      <c r="O16" s="3">
        <v>1.0</v>
      </c>
      <c r="S16" s="3">
        <v>2.0</v>
      </c>
      <c r="T16" s="3">
        <v>1.0</v>
      </c>
      <c r="U16" s="3">
        <v>1.0</v>
      </c>
      <c r="AA16" s="3">
        <v>2.0</v>
      </c>
      <c r="AD16" s="3">
        <v>1.0</v>
      </c>
      <c r="AE16" s="3">
        <v>1.0</v>
      </c>
      <c r="AF16" s="3">
        <v>2.0</v>
      </c>
    </row>
    <row r="17">
      <c r="A17" s="3">
        <v>16.0</v>
      </c>
      <c r="B17" s="13">
        <v>45958.0</v>
      </c>
      <c r="C17" s="5">
        <f t="shared" si="1"/>
        <v>12</v>
      </c>
      <c r="E17" s="3">
        <v>2.0</v>
      </c>
      <c r="H17" s="3">
        <v>1.0</v>
      </c>
      <c r="I17" s="3">
        <v>1.0</v>
      </c>
      <c r="J17" s="3">
        <v>1.0</v>
      </c>
      <c r="K17" s="3">
        <v>2.0</v>
      </c>
      <c r="N17" s="3">
        <v>2.0</v>
      </c>
      <c r="O17" s="3">
        <v>2.0</v>
      </c>
      <c r="R17" s="3">
        <v>1.0</v>
      </c>
      <c r="S17" s="3">
        <v>1.0</v>
      </c>
      <c r="T17" s="3">
        <v>2.0</v>
      </c>
      <c r="U17" s="3">
        <v>2.0</v>
      </c>
      <c r="W17" s="3">
        <v>1.0</v>
      </c>
    </row>
    <row r="18">
      <c r="A18" s="3">
        <v>17.0</v>
      </c>
      <c r="B18" s="13">
        <v>45958.0</v>
      </c>
      <c r="C18" s="5">
        <f t="shared" si="1"/>
        <v>12</v>
      </c>
      <c r="E18" s="3">
        <v>2.0</v>
      </c>
      <c r="H18" s="3">
        <v>1.0</v>
      </c>
      <c r="I18" s="3">
        <v>1.0</v>
      </c>
      <c r="J18" s="3">
        <v>1.0</v>
      </c>
      <c r="K18" s="3">
        <v>2.0</v>
      </c>
      <c r="N18" s="3">
        <v>2.0</v>
      </c>
      <c r="O18" s="3">
        <v>2.0</v>
      </c>
      <c r="R18" s="3">
        <v>1.0</v>
      </c>
      <c r="S18" s="3">
        <v>1.0</v>
      </c>
      <c r="T18" s="3">
        <v>2.0</v>
      </c>
      <c r="U18" s="3">
        <v>2.0</v>
      </c>
      <c r="W18" s="3">
        <v>1.0</v>
      </c>
    </row>
    <row r="19">
      <c r="A19" s="3">
        <v>18.0</v>
      </c>
      <c r="B19" s="13">
        <v>45960.0</v>
      </c>
      <c r="C19" s="5">
        <f t="shared" si="1"/>
        <v>12</v>
      </c>
      <c r="E19" s="3">
        <v>1.0</v>
      </c>
      <c r="J19" s="3">
        <v>2.0</v>
      </c>
      <c r="M19" s="3">
        <v>2.0</v>
      </c>
      <c r="O19" s="3">
        <v>1.0</v>
      </c>
      <c r="R19" s="3">
        <v>1.0</v>
      </c>
      <c r="S19" s="3">
        <v>2.0</v>
      </c>
      <c r="T19" s="3">
        <v>2.0</v>
      </c>
      <c r="AA19" s="3">
        <v>1.0</v>
      </c>
      <c r="AG19" s="3">
        <v>1.0</v>
      </c>
      <c r="AH19" s="3">
        <v>2.0</v>
      </c>
      <c r="AI19" s="3">
        <v>2.0</v>
      </c>
      <c r="AJ19" s="3">
        <v>1.0</v>
      </c>
    </row>
    <row r="20">
      <c r="A20" s="3">
        <v>19.0</v>
      </c>
      <c r="B20" s="13">
        <v>45960.0</v>
      </c>
      <c r="C20" s="5">
        <f t="shared" ref="C20:C63" si="2">COUNTIF(D20:AY20,"&lt;&gt;")</f>
        <v>12</v>
      </c>
      <c r="E20" s="3">
        <v>2.0</v>
      </c>
      <c r="J20" s="3">
        <v>1.0</v>
      </c>
      <c r="M20" s="3">
        <v>1.0</v>
      </c>
      <c r="O20" s="3">
        <v>2.0</v>
      </c>
      <c r="R20" s="3">
        <v>2.0</v>
      </c>
      <c r="S20" s="3">
        <v>1.0</v>
      </c>
      <c r="T20" s="3">
        <v>1.0</v>
      </c>
      <c r="AA20" s="3">
        <v>2.0</v>
      </c>
      <c r="AG20" s="3">
        <v>2.0</v>
      </c>
      <c r="AH20" s="3">
        <v>1.0</v>
      </c>
      <c r="AI20" s="3">
        <v>1.0</v>
      </c>
      <c r="AJ20" s="3">
        <v>2.0</v>
      </c>
    </row>
    <row r="21">
      <c r="A21" s="3">
        <v>20.0</v>
      </c>
      <c r="B21" s="13">
        <v>45965.0</v>
      </c>
      <c r="C21" s="5">
        <f t="shared" si="2"/>
        <v>11</v>
      </c>
      <c r="E21" s="3">
        <v>2.0</v>
      </c>
      <c r="I21" s="3">
        <v>1.0</v>
      </c>
      <c r="K21" s="3">
        <v>1.0</v>
      </c>
      <c r="L21" s="3">
        <v>2.0</v>
      </c>
      <c r="M21" s="3">
        <v>2.0</v>
      </c>
      <c r="O21" s="3">
        <v>2.0</v>
      </c>
      <c r="Q21" s="3">
        <v>2.0</v>
      </c>
      <c r="R21" s="3">
        <v>1.0</v>
      </c>
      <c r="T21" s="3">
        <v>2.0</v>
      </c>
      <c r="U21" s="3">
        <v>1.0</v>
      </c>
      <c r="W21" s="3">
        <v>1.0</v>
      </c>
    </row>
    <row r="22">
      <c r="A22" s="3">
        <v>21.0</v>
      </c>
      <c r="B22" s="13">
        <v>45965.0</v>
      </c>
      <c r="C22" s="5">
        <f t="shared" si="2"/>
        <v>11</v>
      </c>
      <c r="E22" s="3">
        <v>2.0</v>
      </c>
      <c r="I22" s="3">
        <v>1.0</v>
      </c>
      <c r="K22" s="3">
        <v>1.0</v>
      </c>
      <c r="L22" s="3">
        <v>2.0</v>
      </c>
      <c r="M22" s="3">
        <v>2.0</v>
      </c>
      <c r="O22" s="3">
        <v>2.0</v>
      </c>
      <c r="Q22" s="3">
        <v>2.0</v>
      </c>
      <c r="R22" s="3">
        <v>1.0</v>
      </c>
      <c r="T22" s="3">
        <v>2.0</v>
      </c>
      <c r="U22" s="3">
        <v>1.0</v>
      </c>
      <c r="W22" s="3">
        <v>1.0</v>
      </c>
    </row>
    <row r="23">
      <c r="A23" s="3">
        <v>22.0</v>
      </c>
      <c r="B23" s="13">
        <v>45967.0</v>
      </c>
      <c r="C23" s="5">
        <f t="shared" si="2"/>
        <v>12</v>
      </c>
      <c r="E23" s="3">
        <v>1.0</v>
      </c>
      <c r="H23" s="3">
        <v>2.0</v>
      </c>
      <c r="I23" s="3">
        <v>2.0</v>
      </c>
      <c r="J23" s="3">
        <v>1.0</v>
      </c>
      <c r="L23" s="3">
        <v>1.0</v>
      </c>
      <c r="M23" s="3">
        <v>2.0</v>
      </c>
      <c r="O23" s="3">
        <v>2.0</v>
      </c>
      <c r="R23" s="3">
        <v>1.0</v>
      </c>
      <c r="S23" s="3">
        <v>2.0</v>
      </c>
      <c r="T23" s="3">
        <v>1.0</v>
      </c>
      <c r="U23" s="3">
        <v>2.0</v>
      </c>
      <c r="AA23" s="3">
        <v>1.0</v>
      </c>
    </row>
    <row r="24">
      <c r="A24" s="3">
        <v>23.0</v>
      </c>
      <c r="B24" s="13">
        <v>45967.0</v>
      </c>
      <c r="C24" s="5">
        <f t="shared" si="2"/>
        <v>12</v>
      </c>
      <c r="E24" s="3">
        <v>1.0</v>
      </c>
      <c r="H24" s="3">
        <v>2.0</v>
      </c>
      <c r="I24" s="3">
        <v>2.0</v>
      </c>
      <c r="J24" s="3">
        <v>1.0</v>
      </c>
      <c r="L24" s="3">
        <v>1.0</v>
      </c>
      <c r="M24" s="3">
        <v>2.0</v>
      </c>
      <c r="O24" s="3">
        <v>2.0</v>
      </c>
      <c r="R24" s="3">
        <v>1.0</v>
      </c>
      <c r="S24" s="3">
        <v>2.0</v>
      </c>
      <c r="T24" s="3">
        <v>1.0</v>
      </c>
      <c r="U24" s="3">
        <v>2.0</v>
      </c>
      <c r="AA24" s="3">
        <v>1.0</v>
      </c>
    </row>
    <row r="25">
      <c r="A25" s="3">
        <v>24.0</v>
      </c>
      <c r="B25" s="13">
        <v>45967.0</v>
      </c>
      <c r="C25" s="5">
        <f t="shared" si="2"/>
        <v>12</v>
      </c>
      <c r="E25" s="3">
        <v>1.0</v>
      </c>
      <c r="H25" s="3">
        <v>2.0</v>
      </c>
      <c r="I25" s="3">
        <v>2.0</v>
      </c>
      <c r="J25" s="3">
        <v>1.0</v>
      </c>
      <c r="L25" s="3">
        <v>1.0</v>
      </c>
      <c r="M25" s="3">
        <v>2.0</v>
      </c>
      <c r="O25" s="3">
        <v>2.0</v>
      </c>
      <c r="R25" s="3">
        <v>1.0</v>
      </c>
      <c r="S25" s="3">
        <v>2.0</v>
      </c>
      <c r="T25" s="3">
        <v>1.0</v>
      </c>
      <c r="U25" s="3">
        <v>2.0</v>
      </c>
      <c r="AA25" s="3">
        <v>1.0</v>
      </c>
    </row>
    <row r="26">
      <c r="A26" s="3">
        <v>25.0</v>
      </c>
      <c r="B26" s="13">
        <v>45972.0</v>
      </c>
      <c r="C26" s="5">
        <f t="shared" si="2"/>
        <v>12</v>
      </c>
      <c r="E26" s="3">
        <v>2.0</v>
      </c>
      <c r="H26" s="3">
        <v>1.0</v>
      </c>
      <c r="I26" s="3">
        <v>2.0</v>
      </c>
      <c r="J26" s="3">
        <v>1.0</v>
      </c>
      <c r="K26" s="3">
        <v>1.0</v>
      </c>
      <c r="L26" s="3">
        <v>2.0</v>
      </c>
      <c r="M26" s="3">
        <v>1.0</v>
      </c>
      <c r="R26" s="3">
        <v>1.0</v>
      </c>
      <c r="S26" s="3">
        <v>1.0</v>
      </c>
      <c r="T26" s="3">
        <v>2.0</v>
      </c>
      <c r="U26" s="3">
        <v>2.0</v>
      </c>
      <c r="W26" s="3">
        <v>2.0</v>
      </c>
    </row>
    <row r="27">
      <c r="A27" s="3">
        <v>26.0</v>
      </c>
      <c r="B27" s="13">
        <v>45972.0</v>
      </c>
      <c r="C27" s="5">
        <f t="shared" si="2"/>
        <v>12</v>
      </c>
      <c r="E27" s="3">
        <v>2.0</v>
      </c>
      <c r="H27" s="3">
        <v>1.0</v>
      </c>
      <c r="I27" s="3">
        <v>2.0</v>
      </c>
      <c r="J27" s="3">
        <v>1.0</v>
      </c>
      <c r="K27" s="3">
        <v>1.0</v>
      </c>
      <c r="L27" s="3">
        <v>2.0</v>
      </c>
      <c r="M27" s="3">
        <v>1.0</v>
      </c>
      <c r="R27" s="3">
        <v>1.0</v>
      </c>
      <c r="S27" s="3">
        <v>1.0</v>
      </c>
      <c r="T27" s="3">
        <v>2.0</v>
      </c>
      <c r="U27" s="3">
        <v>2.0</v>
      </c>
      <c r="W27" s="3">
        <v>2.0</v>
      </c>
    </row>
    <row r="28">
      <c r="A28" s="3">
        <v>27.0</v>
      </c>
      <c r="B28" s="13">
        <v>45972.0</v>
      </c>
      <c r="C28" s="5">
        <f t="shared" si="2"/>
        <v>12</v>
      </c>
      <c r="E28" s="3">
        <v>2.0</v>
      </c>
      <c r="H28" s="3">
        <v>1.0</v>
      </c>
      <c r="I28" s="3">
        <v>2.0</v>
      </c>
      <c r="J28" s="3">
        <v>1.0</v>
      </c>
      <c r="K28" s="3">
        <v>1.0</v>
      </c>
      <c r="L28" s="3">
        <v>2.0</v>
      </c>
      <c r="M28" s="3">
        <v>1.0</v>
      </c>
      <c r="R28" s="3">
        <v>1.0</v>
      </c>
      <c r="S28" s="3">
        <v>1.0</v>
      </c>
      <c r="T28" s="3">
        <v>2.0</v>
      </c>
      <c r="U28" s="3">
        <v>2.0</v>
      </c>
      <c r="W28" s="3">
        <v>2.0</v>
      </c>
    </row>
    <row r="29">
      <c r="A29" s="3">
        <v>28.0</v>
      </c>
      <c r="B29" s="13">
        <v>45974.0</v>
      </c>
      <c r="C29" s="5">
        <f t="shared" si="2"/>
        <v>12</v>
      </c>
      <c r="E29" s="3">
        <v>1.0</v>
      </c>
      <c r="J29" s="3">
        <v>2.0</v>
      </c>
      <c r="L29" s="3">
        <v>1.0</v>
      </c>
      <c r="M29" s="3">
        <v>2.0</v>
      </c>
      <c r="O29" s="3">
        <v>2.0</v>
      </c>
      <c r="R29" s="3">
        <v>1.0</v>
      </c>
      <c r="S29" s="3">
        <v>2.0</v>
      </c>
      <c r="T29" s="3">
        <v>1.0</v>
      </c>
      <c r="U29" s="3">
        <v>2.0</v>
      </c>
      <c r="AI29" s="3">
        <v>2.0</v>
      </c>
      <c r="AJ29" s="3">
        <v>1.0</v>
      </c>
      <c r="AK29" s="3">
        <v>1.0</v>
      </c>
    </row>
    <row r="30">
      <c r="A30" s="3">
        <v>29.0</v>
      </c>
      <c r="B30" s="13">
        <v>45974.0</v>
      </c>
      <c r="C30" s="5">
        <f t="shared" si="2"/>
        <v>11</v>
      </c>
      <c r="E30" s="3">
        <v>1.0</v>
      </c>
      <c r="J30" s="3">
        <v>2.0</v>
      </c>
      <c r="M30" s="3">
        <v>2.0</v>
      </c>
      <c r="O30" s="3">
        <v>2.0</v>
      </c>
      <c r="R30" s="3">
        <v>1.0</v>
      </c>
      <c r="S30" s="3">
        <v>2.0</v>
      </c>
      <c r="T30" s="3">
        <v>1.0</v>
      </c>
      <c r="U30" s="3">
        <v>2.0</v>
      </c>
      <c r="AI30" s="3">
        <v>2.0</v>
      </c>
      <c r="AJ30" s="3">
        <v>1.0</v>
      </c>
      <c r="AK30" s="3">
        <v>1.0</v>
      </c>
    </row>
    <row r="31">
      <c r="A31" s="3">
        <v>30.0</v>
      </c>
      <c r="B31" s="13">
        <v>45979.0</v>
      </c>
      <c r="C31" s="5">
        <f t="shared" si="2"/>
        <v>12</v>
      </c>
      <c r="E31" s="3">
        <v>2.0</v>
      </c>
      <c r="H31" s="3">
        <v>1.0</v>
      </c>
      <c r="I31" s="3">
        <v>1.0</v>
      </c>
      <c r="J31" s="3">
        <v>1.0</v>
      </c>
      <c r="K31" s="3">
        <v>2.0</v>
      </c>
      <c r="L31" s="3">
        <v>2.0</v>
      </c>
      <c r="N31" s="3">
        <v>2.0</v>
      </c>
      <c r="Q31" s="3">
        <v>2.0</v>
      </c>
      <c r="R31" s="3">
        <v>1.0</v>
      </c>
      <c r="T31" s="3">
        <v>2.0</v>
      </c>
      <c r="W31" s="3">
        <v>1.0</v>
      </c>
      <c r="AG31" s="3">
        <v>1.0</v>
      </c>
    </row>
    <row r="32">
      <c r="A32" s="3">
        <v>31.0</v>
      </c>
      <c r="B32" s="13">
        <v>45979.0</v>
      </c>
      <c r="C32" s="5">
        <f t="shared" si="2"/>
        <v>12</v>
      </c>
      <c r="E32" s="3">
        <v>2.0</v>
      </c>
      <c r="H32" s="3">
        <v>1.0</v>
      </c>
      <c r="I32" s="3">
        <v>1.0</v>
      </c>
      <c r="J32" s="3">
        <v>1.0</v>
      </c>
      <c r="K32" s="3">
        <v>2.0</v>
      </c>
      <c r="L32" s="3">
        <v>2.0</v>
      </c>
      <c r="N32" s="3">
        <v>2.0</v>
      </c>
      <c r="Q32" s="3">
        <v>2.0</v>
      </c>
      <c r="R32" s="3">
        <v>1.0</v>
      </c>
      <c r="T32" s="3">
        <v>2.0</v>
      </c>
      <c r="W32" s="3">
        <v>1.0</v>
      </c>
      <c r="AG32" s="3">
        <v>1.0</v>
      </c>
    </row>
    <row r="33">
      <c r="A33" s="3">
        <v>32.0</v>
      </c>
      <c r="B33" s="13">
        <v>45981.0</v>
      </c>
      <c r="C33" s="5">
        <f t="shared" si="2"/>
        <v>9</v>
      </c>
      <c r="E33" s="3">
        <v>1.0</v>
      </c>
      <c r="I33" s="3">
        <v>2.0</v>
      </c>
      <c r="J33" s="3">
        <v>1.0</v>
      </c>
      <c r="L33" s="3">
        <v>2.0</v>
      </c>
      <c r="M33" s="3">
        <v>1.0</v>
      </c>
      <c r="O33" s="3">
        <v>2.0</v>
      </c>
      <c r="R33" s="3">
        <v>1.0</v>
      </c>
      <c r="T33" s="3">
        <v>2.0</v>
      </c>
      <c r="U33" s="3">
        <v>2.0</v>
      </c>
    </row>
    <row r="34">
      <c r="A34" s="3">
        <v>33.0</v>
      </c>
      <c r="B34" s="13">
        <v>45981.0</v>
      </c>
      <c r="C34" s="5">
        <f t="shared" si="2"/>
        <v>9</v>
      </c>
      <c r="E34" s="3">
        <v>1.0</v>
      </c>
      <c r="I34" s="3">
        <v>1.0</v>
      </c>
      <c r="J34" s="3">
        <v>1.0</v>
      </c>
      <c r="L34" s="3">
        <v>2.0</v>
      </c>
      <c r="M34" s="3">
        <v>1.0</v>
      </c>
      <c r="O34" s="3">
        <v>2.0</v>
      </c>
      <c r="R34" s="3">
        <v>1.0</v>
      </c>
      <c r="T34" s="3">
        <v>2.0</v>
      </c>
      <c r="U34" s="3">
        <v>2.0</v>
      </c>
    </row>
    <row r="35">
      <c r="A35" s="3">
        <v>34.0</v>
      </c>
      <c r="B35" s="13">
        <v>45981.0</v>
      </c>
      <c r="C35" s="5">
        <f t="shared" si="2"/>
        <v>9</v>
      </c>
      <c r="E35" s="3">
        <v>1.0</v>
      </c>
      <c r="I35" s="3">
        <v>1.0</v>
      </c>
      <c r="J35" s="3">
        <v>1.0</v>
      </c>
      <c r="L35" s="3">
        <v>2.0</v>
      </c>
      <c r="M35" s="3">
        <v>1.0</v>
      </c>
      <c r="O35" s="3">
        <v>2.0</v>
      </c>
      <c r="R35" s="3">
        <v>1.0</v>
      </c>
      <c r="T35" s="3">
        <v>2.0</v>
      </c>
      <c r="U35" s="3">
        <v>2.0</v>
      </c>
    </row>
    <row r="36">
      <c r="A36" s="3">
        <v>35.0</v>
      </c>
      <c r="B36" s="6">
        <v>45986.0</v>
      </c>
      <c r="C36" s="5">
        <f t="shared" si="2"/>
        <v>12</v>
      </c>
      <c r="H36" s="3">
        <v>2.0</v>
      </c>
      <c r="I36" s="3">
        <v>1.0</v>
      </c>
      <c r="J36" s="3">
        <v>2.0</v>
      </c>
      <c r="K36" s="3">
        <v>2.0</v>
      </c>
      <c r="L36" s="3">
        <v>1.0</v>
      </c>
      <c r="N36" s="3">
        <v>2.0</v>
      </c>
      <c r="O36" s="3">
        <v>1.0</v>
      </c>
      <c r="R36" s="3">
        <v>2.0</v>
      </c>
      <c r="T36" s="3">
        <v>2.0</v>
      </c>
      <c r="U36" s="3">
        <v>1.0</v>
      </c>
      <c r="W36" s="3">
        <v>1.0</v>
      </c>
      <c r="AG36" s="3">
        <v>1.0</v>
      </c>
    </row>
    <row r="37">
      <c r="A37" s="3">
        <v>36.0</v>
      </c>
      <c r="B37" s="6">
        <v>45986.0</v>
      </c>
      <c r="C37" s="5">
        <f t="shared" si="2"/>
        <v>12</v>
      </c>
      <c r="H37" s="3">
        <v>1.0</v>
      </c>
      <c r="I37" s="3">
        <v>2.0</v>
      </c>
      <c r="J37" s="3">
        <v>1.0</v>
      </c>
      <c r="K37" s="3">
        <v>1.0</v>
      </c>
      <c r="L37" s="3">
        <v>2.0</v>
      </c>
      <c r="N37" s="3">
        <v>1.0</v>
      </c>
      <c r="O37" s="3">
        <v>2.0</v>
      </c>
      <c r="R37" s="3">
        <v>1.0</v>
      </c>
      <c r="T37" s="3">
        <v>1.0</v>
      </c>
      <c r="U37" s="3">
        <v>2.0</v>
      </c>
      <c r="W37" s="3">
        <v>2.0</v>
      </c>
      <c r="AG37" s="3">
        <v>2.0</v>
      </c>
    </row>
    <row r="38">
      <c r="A38" s="3">
        <v>37.0</v>
      </c>
      <c r="B38" s="6">
        <v>45988.0</v>
      </c>
      <c r="C38" s="5">
        <f t="shared" si="2"/>
        <v>12</v>
      </c>
      <c r="E38" s="3">
        <v>1.0</v>
      </c>
      <c r="I38" s="3">
        <v>1.0</v>
      </c>
      <c r="J38" s="3">
        <v>2.0</v>
      </c>
      <c r="L38" s="3">
        <v>1.0</v>
      </c>
      <c r="M38" s="3">
        <v>1.0</v>
      </c>
      <c r="O38" s="3">
        <v>2.0</v>
      </c>
      <c r="R38" s="3">
        <v>2.0</v>
      </c>
      <c r="T38" s="3">
        <v>2.0</v>
      </c>
      <c r="W38" s="3">
        <v>1.0</v>
      </c>
      <c r="AB38" s="3">
        <v>2.0</v>
      </c>
      <c r="AD38" s="3">
        <v>2.0</v>
      </c>
      <c r="AL38" s="3">
        <v>1.0</v>
      </c>
    </row>
    <row r="39">
      <c r="A39" s="3">
        <v>38.0</v>
      </c>
      <c r="B39" s="6">
        <v>45988.0</v>
      </c>
      <c r="C39" s="5">
        <f t="shared" si="2"/>
        <v>12</v>
      </c>
      <c r="E39" s="3">
        <v>1.0</v>
      </c>
      <c r="I39" s="3">
        <v>1.0</v>
      </c>
      <c r="J39" s="3">
        <v>2.0</v>
      </c>
      <c r="M39" s="3">
        <v>1.0</v>
      </c>
      <c r="O39" s="3">
        <v>2.0</v>
      </c>
      <c r="R39" s="3">
        <v>2.0</v>
      </c>
      <c r="T39" s="3">
        <v>2.0</v>
      </c>
      <c r="W39" s="3">
        <v>1.0</v>
      </c>
      <c r="AB39" s="3">
        <v>2.0</v>
      </c>
      <c r="AD39" s="3">
        <v>2.0</v>
      </c>
      <c r="AL39" s="3">
        <v>1.0</v>
      </c>
      <c r="AM39" s="3">
        <v>1.0</v>
      </c>
    </row>
    <row r="40">
      <c r="A40" s="3">
        <v>39.0</v>
      </c>
      <c r="B40" s="6">
        <v>45989.0</v>
      </c>
      <c r="C40" s="5">
        <f t="shared" si="2"/>
        <v>12</v>
      </c>
      <c r="E40" s="3">
        <v>2.0</v>
      </c>
      <c r="I40" s="3">
        <v>2.0</v>
      </c>
      <c r="J40" s="3">
        <v>1.0</v>
      </c>
      <c r="M40" s="3">
        <v>2.0</v>
      </c>
      <c r="O40" s="3">
        <v>1.0</v>
      </c>
      <c r="R40" s="3">
        <v>1.0</v>
      </c>
      <c r="T40" s="3">
        <v>1.0</v>
      </c>
      <c r="W40" s="3">
        <v>2.0</v>
      </c>
      <c r="AB40" s="3">
        <v>1.0</v>
      </c>
      <c r="AD40" s="3">
        <v>1.0</v>
      </c>
      <c r="AL40" s="3">
        <v>2.0</v>
      </c>
      <c r="AM40" s="3">
        <v>2.0</v>
      </c>
    </row>
    <row r="41">
      <c r="A41" s="3">
        <v>40.0</v>
      </c>
      <c r="B41" s="6">
        <v>45993.0</v>
      </c>
      <c r="C41" s="5">
        <f t="shared" si="2"/>
        <v>12</v>
      </c>
      <c r="H41" s="3">
        <v>1.0</v>
      </c>
      <c r="I41" s="3">
        <v>1.0</v>
      </c>
      <c r="J41" s="3">
        <v>1.0</v>
      </c>
      <c r="K41" s="3">
        <v>2.0</v>
      </c>
      <c r="P41" s="3">
        <v>1.0</v>
      </c>
      <c r="T41" s="3">
        <v>1.0</v>
      </c>
      <c r="W41" s="3">
        <v>1.0</v>
      </c>
      <c r="AB41" s="3">
        <v>2.0</v>
      </c>
      <c r="AG41" s="3">
        <v>2.0</v>
      </c>
      <c r="AM41" s="3">
        <v>2.0</v>
      </c>
      <c r="AN41" s="3">
        <v>2.0</v>
      </c>
      <c r="AO41" s="3">
        <v>2.0</v>
      </c>
    </row>
    <row r="42">
      <c r="A42" s="3">
        <v>41.0</v>
      </c>
      <c r="B42" s="6">
        <v>45993.0</v>
      </c>
      <c r="C42" s="5">
        <f t="shared" si="2"/>
        <v>12</v>
      </c>
      <c r="H42" s="3">
        <v>1.0</v>
      </c>
      <c r="I42" s="3">
        <v>1.0</v>
      </c>
      <c r="J42" s="3">
        <v>1.0</v>
      </c>
      <c r="K42" s="3">
        <v>2.0</v>
      </c>
      <c r="P42" s="3">
        <v>1.0</v>
      </c>
      <c r="T42" s="3">
        <v>1.0</v>
      </c>
      <c r="W42" s="3">
        <v>1.0</v>
      </c>
      <c r="AB42" s="3">
        <v>2.0</v>
      </c>
      <c r="AG42" s="3">
        <v>2.0</v>
      </c>
      <c r="AM42" s="3">
        <v>2.0</v>
      </c>
      <c r="AN42" s="3">
        <v>2.0</v>
      </c>
      <c r="AO42" s="3">
        <v>2.0</v>
      </c>
    </row>
    <row r="43">
      <c r="A43" s="3">
        <v>42.0</v>
      </c>
      <c r="B43" s="6">
        <v>45995.0</v>
      </c>
      <c r="C43" s="5">
        <f t="shared" si="2"/>
        <v>12</v>
      </c>
      <c r="E43" s="3">
        <v>1.0</v>
      </c>
      <c r="J43" s="3">
        <v>2.0</v>
      </c>
      <c r="M43" s="3">
        <v>2.0</v>
      </c>
      <c r="N43" s="3">
        <v>1.0</v>
      </c>
      <c r="O43" s="3">
        <v>1.0</v>
      </c>
      <c r="R43" s="3">
        <v>1.0</v>
      </c>
      <c r="S43" s="3">
        <v>2.0</v>
      </c>
      <c r="T43" s="3">
        <v>2.0</v>
      </c>
      <c r="AD43" s="3">
        <v>1.0</v>
      </c>
      <c r="AH43" s="3">
        <v>2.0</v>
      </c>
      <c r="AM43" s="3">
        <v>2.0</v>
      </c>
      <c r="AP43" s="3">
        <v>1.0</v>
      </c>
    </row>
    <row r="44">
      <c r="A44" s="3">
        <v>43.0</v>
      </c>
      <c r="B44" s="6">
        <v>45995.0</v>
      </c>
      <c r="C44" s="5">
        <f t="shared" si="2"/>
        <v>12</v>
      </c>
      <c r="E44" s="3">
        <v>2.0</v>
      </c>
      <c r="J44" s="3">
        <v>1.0</v>
      </c>
      <c r="M44" s="3">
        <v>1.0</v>
      </c>
      <c r="N44" s="3">
        <v>2.0</v>
      </c>
      <c r="O44" s="3">
        <v>2.0</v>
      </c>
      <c r="R44" s="3">
        <v>2.0</v>
      </c>
      <c r="S44" s="3">
        <v>1.0</v>
      </c>
      <c r="T44" s="3">
        <v>1.0</v>
      </c>
      <c r="AD44" s="3">
        <v>2.0</v>
      </c>
      <c r="AH44" s="3">
        <v>1.0</v>
      </c>
      <c r="AM44" s="3">
        <v>1.0</v>
      </c>
      <c r="AP44" s="3">
        <v>2.0</v>
      </c>
    </row>
    <row r="45">
      <c r="A45" s="3">
        <v>44.0</v>
      </c>
      <c r="B45" s="6">
        <v>46000.0</v>
      </c>
      <c r="C45" s="5">
        <f t="shared" si="2"/>
        <v>12</v>
      </c>
      <c r="E45" s="3">
        <v>1.0</v>
      </c>
      <c r="K45" s="3">
        <v>2.0</v>
      </c>
      <c r="M45" s="3">
        <v>1.0</v>
      </c>
      <c r="O45" s="3">
        <v>2.0</v>
      </c>
      <c r="P45" s="3">
        <v>1.0</v>
      </c>
      <c r="R45" s="3">
        <v>2.0</v>
      </c>
      <c r="S45" s="3">
        <v>1.0</v>
      </c>
      <c r="W45" s="3">
        <v>2.0</v>
      </c>
      <c r="Y45" s="3">
        <v>2.0</v>
      </c>
      <c r="AD45" s="3">
        <v>2.0</v>
      </c>
      <c r="AN45" s="3">
        <v>1.0</v>
      </c>
      <c r="AQ45" s="3">
        <v>1.0</v>
      </c>
    </row>
    <row r="46">
      <c r="A46" s="3">
        <v>45.0</v>
      </c>
      <c r="B46" s="6">
        <v>46000.0</v>
      </c>
      <c r="C46" s="5">
        <f t="shared" si="2"/>
        <v>12</v>
      </c>
      <c r="E46" s="3">
        <v>2.0</v>
      </c>
      <c r="K46" s="3">
        <v>1.0</v>
      </c>
      <c r="M46" s="3">
        <v>2.0</v>
      </c>
      <c r="O46" s="3">
        <v>1.0</v>
      </c>
      <c r="P46" s="3">
        <v>2.0</v>
      </c>
      <c r="R46" s="3">
        <v>1.0</v>
      </c>
      <c r="S46" s="3">
        <v>2.0</v>
      </c>
      <c r="W46" s="3">
        <v>1.0</v>
      </c>
      <c r="Y46" s="3">
        <v>1.0</v>
      </c>
      <c r="AD46" s="3">
        <v>1.0</v>
      </c>
      <c r="AN46" s="3">
        <v>2.0</v>
      </c>
      <c r="AQ46" s="3">
        <v>2.0</v>
      </c>
    </row>
    <row r="47">
      <c r="A47" s="3">
        <v>46.0</v>
      </c>
      <c r="B47" s="6">
        <v>46002.0</v>
      </c>
      <c r="C47" s="5">
        <f t="shared" si="2"/>
        <v>11</v>
      </c>
      <c r="E47" s="3">
        <v>1.0</v>
      </c>
      <c r="J47" s="3">
        <v>1.0</v>
      </c>
      <c r="M47" s="3">
        <v>1.0</v>
      </c>
      <c r="N47" s="3">
        <v>1.0</v>
      </c>
      <c r="R47" s="3">
        <v>2.0</v>
      </c>
      <c r="S47" s="3">
        <v>2.0</v>
      </c>
      <c r="T47" s="3">
        <v>2.0</v>
      </c>
      <c r="Y47" s="3">
        <v>2.0</v>
      </c>
      <c r="AD47" s="3">
        <v>2.0</v>
      </c>
      <c r="AG47" s="3">
        <v>1.0</v>
      </c>
      <c r="AL47" s="3">
        <v>1.0</v>
      </c>
    </row>
    <row r="48">
      <c r="A48" s="3">
        <v>47.0</v>
      </c>
      <c r="B48" s="6">
        <v>46002.0</v>
      </c>
      <c r="C48" s="5">
        <f t="shared" si="2"/>
        <v>12</v>
      </c>
      <c r="E48" s="3">
        <v>2.0</v>
      </c>
      <c r="J48" s="3">
        <v>2.0</v>
      </c>
      <c r="M48" s="3">
        <v>1.0</v>
      </c>
      <c r="N48" s="3">
        <v>2.0</v>
      </c>
      <c r="R48" s="3">
        <v>1.0</v>
      </c>
      <c r="S48" s="3">
        <v>1.0</v>
      </c>
      <c r="T48" s="3">
        <v>1.0</v>
      </c>
      <c r="Y48" s="3">
        <v>2.0</v>
      </c>
      <c r="AD48" s="3">
        <v>1.0</v>
      </c>
      <c r="AG48" s="3">
        <v>2.0</v>
      </c>
      <c r="AL48" s="3">
        <v>2.0</v>
      </c>
      <c r="AR48" s="3">
        <v>1.0</v>
      </c>
    </row>
    <row r="49">
      <c r="A49" s="3">
        <v>48.0</v>
      </c>
      <c r="B49" s="6">
        <v>46002.0</v>
      </c>
      <c r="C49" s="5">
        <f t="shared" si="2"/>
        <v>11</v>
      </c>
      <c r="E49" s="3">
        <v>2.0</v>
      </c>
      <c r="J49" s="3">
        <v>2.0</v>
      </c>
      <c r="M49" s="3">
        <v>2.0</v>
      </c>
      <c r="R49" s="3">
        <v>1.0</v>
      </c>
      <c r="S49" s="3">
        <v>1.0</v>
      </c>
      <c r="T49" s="3">
        <v>1.0</v>
      </c>
      <c r="Y49" s="3">
        <v>2.0</v>
      </c>
      <c r="AD49" s="3">
        <v>1.0</v>
      </c>
      <c r="AG49" s="3">
        <v>2.0</v>
      </c>
      <c r="AL49" s="3">
        <v>2.0</v>
      </c>
      <c r="AR49" s="3">
        <v>2.0</v>
      </c>
    </row>
    <row r="50">
      <c r="A50" s="3">
        <v>49.0</v>
      </c>
      <c r="B50" s="13">
        <v>46007.0</v>
      </c>
      <c r="C50" s="5">
        <f t="shared" si="2"/>
        <v>12</v>
      </c>
      <c r="E50" s="3">
        <v>1.0</v>
      </c>
      <c r="H50" s="3">
        <v>2.0</v>
      </c>
      <c r="I50" s="3">
        <v>2.0</v>
      </c>
      <c r="J50" s="3">
        <v>2.0</v>
      </c>
      <c r="K50" s="3">
        <v>2.0</v>
      </c>
      <c r="L50" s="3">
        <v>1.0</v>
      </c>
      <c r="M50" s="3">
        <v>1.0</v>
      </c>
      <c r="O50" s="3">
        <v>1.0</v>
      </c>
      <c r="P50" s="3">
        <v>1.0</v>
      </c>
      <c r="R50" s="3">
        <v>1.0</v>
      </c>
      <c r="S50" s="3">
        <v>2.0</v>
      </c>
      <c r="T50" s="3">
        <v>2.0</v>
      </c>
    </row>
    <row r="51">
      <c r="A51" s="3">
        <v>50.0</v>
      </c>
      <c r="B51" s="13">
        <v>46007.0</v>
      </c>
      <c r="C51" s="5">
        <f t="shared" si="2"/>
        <v>12</v>
      </c>
      <c r="E51" s="3">
        <v>2.0</v>
      </c>
      <c r="H51" s="3">
        <v>1.0</v>
      </c>
      <c r="I51" s="3">
        <v>1.0</v>
      </c>
      <c r="J51" s="3">
        <v>1.0</v>
      </c>
      <c r="K51" s="3">
        <v>1.0</v>
      </c>
      <c r="L51" s="3">
        <v>2.0</v>
      </c>
      <c r="M51" s="3">
        <v>2.0</v>
      </c>
      <c r="O51" s="3">
        <v>2.0</v>
      </c>
      <c r="P51" s="3">
        <v>2.0</v>
      </c>
      <c r="R51" s="3">
        <v>2.0</v>
      </c>
      <c r="S51" s="3">
        <v>1.0</v>
      </c>
      <c r="T51" s="3">
        <v>1.0</v>
      </c>
    </row>
    <row r="52">
      <c r="A52" s="3">
        <v>51.0</v>
      </c>
      <c r="B52" s="13">
        <v>46009.0</v>
      </c>
      <c r="C52" s="5">
        <f t="shared" si="2"/>
        <v>8</v>
      </c>
      <c r="E52" s="3">
        <v>1.0</v>
      </c>
      <c r="J52" s="3">
        <v>2.0</v>
      </c>
      <c r="L52" s="3">
        <v>1.0</v>
      </c>
      <c r="M52" s="3">
        <v>1.0</v>
      </c>
      <c r="R52" s="3">
        <v>2.0</v>
      </c>
      <c r="T52" s="3">
        <v>2.0</v>
      </c>
      <c r="U52" s="3">
        <v>2.0</v>
      </c>
      <c r="AD52" s="3">
        <v>1.0</v>
      </c>
    </row>
    <row r="53">
      <c r="A53" s="3">
        <v>52.0</v>
      </c>
      <c r="B53" s="13">
        <v>46009.0</v>
      </c>
      <c r="C53" s="5">
        <f t="shared" si="2"/>
        <v>8</v>
      </c>
      <c r="E53" s="3">
        <v>1.0</v>
      </c>
      <c r="J53" s="3">
        <v>2.0</v>
      </c>
      <c r="L53" s="3">
        <v>1.0</v>
      </c>
      <c r="M53" s="3">
        <v>1.0</v>
      </c>
      <c r="R53" s="3">
        <v>2.0</v>
      </c>
      <c r="T53" s="3">
        <v>2.0</v>
      </c>
      <c r="U53" s="3">
        <v>2.0</v>
      </c>
      <c r="AD53" s="3">
        <v>1.0</v>
      </c>
    </row>
    <row r="54">
      <c r="A54" s="3">
        <v>53.0</v>
      </c>
      <c r="B54" s="13">
        <v>46014.0</v>
      </c>
      <c r="C54" s="5">
        <f t="shared" si="2"/>
        <v>12</v>
      </c>
      <c r="E54" s="3">
        <v>1.0</v>
      </c>
      <c r="H54" s="3">
        <v>2.0</v>
      </c>
      <c r="I54" s="3">
        <v>2.0</v>
      </c>
      <c r="J54" s="3">
        <v>1.0</v>
      </c>
      <c r="K54" s="3">
        <v>2.0</v>
      </c>
      <c r="M54" s="3">
        <v>1.0</v>
      </c>
      <c r="N54" s="3">
        <v>2.0</v>
      </c>
      <c r="S54" s="3">
        <v>1.0</v>
      </c>
      <c r="T54" s="3">
        <v>2.0</v>
      </c>
      <c r="U54" s="3">
        <v>2.0</v>
      </c>
      <c r="W54" s="3">
        <v>1.0</v>
      </c>
      <c r="AB54" s="3">
        <v>1.0</v>
      </c>
    </row>
    <row r="55">
      <c r="A55" s="3">
        <v>54.0</v>
      </c>
      <c r="B55" s="13">
        <v>46014.0</v>
      </c>
      <c r="C55" s="5">
        <f t="shared" si="2"/>
        <v>12</v>
      </c>
      <c r="E55" s="3">
        <v>2.0</v>
      </c>
      <c r="H55" s="3">
        <v>1.0</v>
      </c>
      <c r="I55" s="3">
        <v>1.0</v>
      </c>
      <c r="J55" s="3">
        <v>2.0</v>
      </c>
      <c r="K55" s="3">
        <v>1.0</v>
      </c>
      <c r="M55" s="3">
        <v>2.0</v>
      </c>
      <c r="N55" s="3">
        <v>1.0</v>
      </c>
      <c r="S55" s="3">
        <v>2.0</v>
      </c>
      <c r="T55" s="3">
        <v>1.0</v>
      </c>
      <c r="U55" s="3">
        <v>1.0</v>
      </c>
      <c r="W55" s="3">
        <v>2.0</v>
      </c>
      <c r="AB55" s="3">
        <v>2.0</v>
      </c>
    </row>
    <row r="56">
      <c r="A56" s="3">
        <v>55.0</v>
      </c>
      <c r="B56" s="13">
        <v>46014.0</v>
      </c>
      <c r="C56" s="5">
        <f t="shared" si="2"/>
        <v>12</v>
      </c>
      <c r="E56" s="3">
        <v>1.0</v>
      </c>
      <c r="H56" s="3">
        <v>2.0</v>
      </c>
      <c r="I56" s="3">
        <v>2.0</v>
      </c>
      <c r="J56" s="3">
        <v>1.0</v>
      </c>
      <c r="K56" s="3">
        <v>2.0</v>
      </c>
      <c r="M56" s="3">
        <v>1.0</v>
      </c>
      <c r="N56" s="3">
        <v>2.0</v>
      </c>
      <c r="S56" s="3">
        <v>1.0</v>
      </c>
      <c r="T56" s="3">
        <v>2.0</v>
      </c>
      <c r="U56" s="3">
        <v>2.0</v>
      </c>
      <c r="W56" s="3">
        <v>1.0</v>
      </c>
      <c r="AB56" s="3">
        <v>1.0</v>
      </c>
    </row>
    <row r="57">
      <c r="A57" s="3">
        <v>56.0</v>
      </c>
      <c r="B57" s="13">
        <v>46021.0</v>
      </c>
      <c r="C57" s="5">
        <f t="shared" si="2"/>
        <v>12</v>
      </c>
      <c r="E57" s="3">
        <v>1.0</v>
      </c>
      <c r="H57" s="3">
        <v>2.0</v>
      </c>
      <c r="I57" s="3">
        <v>2.0</v>
      </c>
      <c r="K57" s="3">
        <v>1.0</v>
      </c>
      <c r="O57" s="3">
        <v>1.0</v>
      </c>
      <c r="P57" s="3">
        <v>1.0</v>
      </c>
      <c r="R57" s="3">
        <v>1.0</v>
      </c>
      <c r="S57" s="3">
        <v>2.0</v>
      </c>
      <c r="T57" s="3">
        <v>2.0</v>
      </c>
      <c r="U57" s="3">
        <v>2.0</v>
      </c>
      <c r="AB57" s="3">
        <v>1.0</v>
      </c>
      <c r="AS57" s="3">
        <v>1.0</v>
      </c>
    </row>
    <row r="58">
      <c r="A58" s="3">
        <v>57.0</v>
      </c>
      <c r="B58" s="13">
        <v>46021.0</v>
      </c>
      <c r="C58" s="5">
        <f t="shared" si="2"/>
        <v>11</v>
      </c>
      <c r="E58" s="3">
        <v>2.0</v>
      </c>
      <c r="H58" s="3">
        <v>1.0</v>
      </c>
      <c r="K58" s="3">
        <v>2.0</v>
      </c>
      <c r="O58" s="3">
        <v>2.0</v>
      </c>
      <c r="P58" s="3">
        <v>2.0</v>
      </c>
      <c r="R58" s="3">
        <v>2.0</v>
      </c>
      <c r="S58" s="3">
        <v>1.0</v>
      </c>
      <c r="T58" s="3">
        <v>1.0</v>
      </c>
      <c r="U58" s="3">
        <v>1.0</v>
      </c>
      <c r="AB58" s="3">
        <v>2.0</v>
      </c>
      <c r="AS58" s="3">
        <v>2.0</v>
      </c>
    </row>
    <row r="59">
      <c r="A59" s="3">
        <v>58.0</v>
      </c>
      <c r="B59" s="13">
        <v>46021.0</v>
      </c>
      <c r="C59" s="5">
        <f t="shared" si="2"/>
        <v>11</v>
      </c>
      <c r="D59" s="14"/>
      <c r="E59" s="15">
        <v>2.0</v>
      </c>
      <c r="H59" s="3">
        <v>1.0</v>
      </c>
      <c r="K59" s="3">
        <v>2.0</v>
      </c>
      <c r="O59" s="3">
        <v>2.0</v>
      </c>
      <c r="P59" s="3">
        <v>2.0</v>
      </c>
      <c r="R59" s="3">
        <v>2.0</v>
      </c>
      <c r="S59" s="3">
        <v>1.0</v>
      </c>
      <c r="T59" s="3">
        <v>1.0</v>
      </c>
      <c r="U59" s="3">
        <v>1.0</v>
      </c>
      <c r="AB59" s="3">
        <v>2.0</v>
      </c>
      <c r="AS59" s="3">
        <v>2.0</v>
      </c>
    </row>
    <row r="60">
      <c r="A60" s="3">
        <v>59.0</v>
      </c>
      <c r="B60" s="13">
        <v>46030.0</v>
      </c>
      <c r="C60" s="5">
        <f t="shared" si="2"/>
        <v>12</v>
      </c>
      <c r="D60" s="14"/>
      <c r="E60" s="15">
        <v>1.0</v>
      </c>
      <c r="H60" s="3">
        <v>1.0</v>
      </c>
      <c r="J60" s="3">
        <v>2.0</v>
      </c>
      <c r="K60" s="3">
        <v>2.0</v>
      </c>
      <c r="M60" s="3">
        <v>1.0</v>
      </c>
      <c r="N60" s="3">
        <v>2.0</v>
      </c>
      <c r="O60" s="3">
        <v>2.0</v>
      </c>
      <c r="R60" s="3">
        <v>2.0</v>
      </c>
      <c r="S60" s="3">
        <v>1.0</v>
      </c>
      <c r="T60" s="3">
        <v>1.0</v>
      </c>
      <c r="W60" s="3">
        <v>1.0</v>
      </c>
      <c r="AM60" s="3">
        <v>2.0</v>
      </c>
    </row>
    <row r="61">
      <c r="A61" s="3">
        <v>60.0</v>
      </c>
      <c r="B61" s="13">
        <v>46030.0</v>
      </c>
      <c r="C61" s="5">
        <f t="shared" si="2"/>
        <v>12</v>
      </c>
      <c r="E61" s="3">
        <v>1.0</v>
      </c>
      <c r="H61" s="3">
        <v>1.0</v>
      </c>
      <c r="J61" s="3">
        <v>2.0</v>
      </c>
      <c r="K61" s="3">
        <v>2.0</v>
      </c>
      <c r="M61" s="3">
        <v>1.0</v>
      </c>
      <c r="N61" s="3">
        <v>2.0</v>
      </c>
      <c r="O61" s="3">
        <v>2.0</v>
      </c>
      <c r="R61" s="3">
        <v>2.0</v>
      </c>
      <c r="S61" s="3">
        <v>1.0</v>
      </c>
      <c r="T61" s="3">
        <v>1.0</v>
      </c>
      <c r="W61" s="3">
        <v>1.0</v>
      </c>
      <c r="AM61" s="3">
        <v>2.0</v>
      </c>
    </row>
    <row r="62">
      <c r="A62" s="3">
        <v>61.0</v>
      </c>
      <c r="B62" s="13">
        <v>46035.0</v>
      </c>
      <c r="C62" s="5">
        <f t="shared" si="2"/>
        <v>10</v>
      </c>
      <c r="E62" s="3">
        <v>1.0</v>
      </c>
      <c r="K62" s="3">
        <v>1.0</v>
      </c>
      <c r="M62" s="3">
        <v>2.0</v>
      </c>
      <c r="N62" s="3">
        <v>2.0</v>
      </c>
      <c r="O62" s="3">
        <v>2.0</v>
      </c>
      <c r="S62" s="3">
        <v>1.0</v>
      </c>
      <c r="T62" s="3">
        <v>2.0</v>
      </c>
      <c r="U62" s="3">
        <v>2.0</v>
      </c>
      <c r="W62" s="3">
        <v>1.0</v>
      </c>
      <c r="AB62" s="3">
        <v>1.0</v>
      </c>
    </row>
    <row r="63">
      <c r="A63" s="3">
        <v>62.0</v>
      </c>
      <c r="B63" s="13">
        <v>46035.0</v>
      </c>
      <c r="C63" s="5">
        <f t="shared" si="2"/>
        <v>10</v>
      </c>
      <c r="E63" s="3">
        <v>1.0</v>
      </c>
      <c r="K63" s="3">
        <v>1.0</v>
      </c>
      <c r="M63" s="3">
        <v>2.0</v>
      </c>
      <c r="N63" s="3">
        <v>2.0</v>
      </c>
      <c r="O63" s="3">
        <v>2.0</v>
      </c>
      <c r="S63" s="3">
        <v>1.0</v>
      </c>
      <c r="T63" s="3">
        <v>2.0</v>
      </c>
      <c r="U63" s="3">
        <v>2.0</v>
      </c>
      <c r="W63" s="3">
        <v>1.0</v>
      </c>
      <c r="AB63" s="3">
        <v>1.0</v>
      </c>
    </row>
    <row r="64">
      <c r="A64" s="6"/>
      <c r="B64" s="6"/>
      <c r="C64" s="5"/>
    </row>
    <row r="65">
      <c r="A65" s="6"/>
      <c r="B65" s="6"/>
      <c r="C65" s="5"/>
    </row>
    <row r="66">
      <c r="A66" s="6"/>
      <c r="B66" s="6"/>
      <c r="C66" s="5"/>
    </row>
    <row r="67">
      <c r="A67" s="6"/>
      <c r="B67" s="6"/>
      <c r="C67" s="5"/>
    </row>
    <row r="68">
      <c r="A68" s="6"/>
      <c r="B68" s="6"/>
      <c r="C68" s="5"/>
    </row>
    <row r="69">
      <c r="A69" s="6"/>
      <c r="B69" s="6"/>
      <c r="C69" s="5"/>
    </row>
    <row r="70">
      <c r="A70" s="6"/>
      <c r="B70" s="6"/>
      <c r="C70" s="5"/>
    </row>
    <row r="71">
      <c r="A71" s="13"/>
      <c r="B71" s="13"/>
      <c r="C71" s="5"/>
    </row>
    <row r="72">
      <c r="A72" s="13"/>
      <c r="B72" s="13"/>
      <c r="C72" s="5"/>
    </row>
    <row r="73">
      <c r="A73" s="6"/>
      <c r="B73" s="6"/>
      <c r="C73" s="5"/>
    </row>
    <row r="74">
      <c r="A74" s="6"/>
      <c r="B74" s="6"/>
      <c r="C74" s="5"/>
    </row>
    <row r="75">
      <c r="A75" s="16"/>
      <c r="B75" s="16"/>
      <c r="C75" s="17"/>
      <c r="D75" s="10"/>
      <c r="E75" s="10"/>
      <c r="F75" s="10"/>
      <c r="G75" s="10"/>
      <c r="H75" s="10"/>
      <c r="I75" s="12"/>
      <c r="J75" s="10"/>
      <c r="K75" s="10"/>
      <c r="L75" s="10"/>
      <c r="M75" s="10"/>
      <c r="N75" s="10"/>
      <c r="O75" s="10"/>
      <c r="P75" s="12"/>
      <c r="Q75" s="10"/>
      <c r="R75" s="10"/>
      <c r="S75" s="12"/>
      <c r="T75" s="12"/>
      <c r="U75" s="10"/>
      <c r="V75" s="10"/>
      <c r="W75" s="10"/>
      <c r="X75" s="12"/>
      <c r="Y75" s="10"/>
      <c r="Z75" s="10"/>
      <c r="AA75" s="10"/>
      <c r="AB75" s="10"/>
      <c r="AC75" s="12"/>
      <c r="AD75" s="10"/>
      <c r="AE75" s="10"/>
      <c r="AF75" s="10"/>
      <c r="AG75" s="10"/>
      <c r="AH75" s="12"/>
      <c r="AI75" s="12"/>
      <c r="AJ75" s="12"/>
      <c r="AK75" s="12"/>
      <c r="AL75" s="12"/>
      <c r="AM75" s="10"/>
      <c r="AN75" s="10"/>
      <c r="AO75" s="10"/>
      <c r="AP75" s="10"/>
      <c r="AQ75" s="10"/>
      <c r="AR75" s="12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>
      <c r="A76" s="16"/>
      <c r="B76" s="16"/>
      <c r="C76" s="17"/>
      <c r="D76" s="10"/>
      <c r="E76" s="10"/>
      <c r="F76" s="10"/>
      <c r="G76" s="10"/>
      <c r="H76" s="10"/>
      <c r="I76" s="12"/>
      <c r="J76" s="10"/>
      <c r="K76" s="10"/>
      <c r="L76" s="10"/>
      <c r="M76" s="10"/>
      <c r="N76" s="10"/>
      <c r="O76" s="10"/>
      <c r="P76" s="12"/>
      <c r="Q76" s="10"/>
      <c r="R76" s="10"/>
      <c r="S76" s="12"/>
      <c r="T76" s="12"/>
      <c r="U76" s="10"/>
      <c r="V76" s="10"/>
      <c r="W76" s="10"/>
      <c r="X76" s="12"/>
      <c r="Y76" s="10"/>
      <c r="Z76" s="10"/>
      <c r="AA76" s="10"/>
      <c r="AB76" s="10"/>
      <c r="AC76" s="12"/>
      <c r="AD76" s="10"/>
      <c r="AE76" s="10"/>
      <c r="AF76" s="10"/>
      <c r="AG76" s="10"/>
      <c r="AH76" s="12"/>
      <c r="AI76" s="10"/>
      <c r="AJ76" s="12"/>
      <c r="AK76" s="12"/>
      <c r="AL76" s="12"/>
      <c r="AM76" s="10"/>
      <c r="AN76" s="10"/>
      <c r="AO76" s="10"/>
      <c r="AP76" s="10"/>
      <c r="AQ76" s="10"/>
      <c r="AR76" s="12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</row>
    <row r="77">
      <c r="A77" s="16"/>
      <c r="B77" s="16"/>
      <c r="C77" s="17"/>
      <c r="D77" s="10"/>
      <c r="E77" s="10"/>
      <c r="F77" s="10"/>
      <c r="G77" s="10"/>
      <c r="H77" s="10"/>
      <c r="I77" s="12"/>
      <c r="J77" s="10"/>
      <c r="K77" s="10"/>
      <c r="L77" s="10"/>
      <c r="M77" s="10"/>
      <c r="N77" s="10"/>
      <c r="O77" s="10"/>
      <c r="P77" s="12"/>
      <c r="Q77" s="10"/>
      <c r="R77" s="10"/>
      <c r="S77" s="12"/>
      <c r="T77" s="12"/>
      <c r="U77" s="10"/>
      <c r="V77" s="10"/>
      <c r="W77" s="10"/>
      <c r="X77" s="12"/>
      <c r="Y77" s="10"/>
      <c r="Z77" s="10"/>
      <c r="AA77" s="10"/>
      <c r="AB77" s="10"/>
      <c r="AC77" s="12"/>
      <c r="AD77" s="10"/>
      <c r="AE77" s="10"/>
      <c r="AF77" s="10"/>
      <c r="AG77" s="10"/>
      <c r="AH77" s="12"/>
      <c r="AI77" s="10"/>
      <c r="AJ77" s="12"/>
      <c r="AK77" s="12"/>
      <c r="AL77" s="12"/>
      <c r="AM77" s="10"/>
      <c r="AN77" s="10"/>
      <c r="AO77" s="10"/>
      <c r="AP77" s="10"/>
      <c r="AQ77" s="10"/>
      <c r="AR77" s="12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</row>
    <row r="78">
      <c r="A78" s="13"/>
      <c r="B78" s="13"/>
      <c r="C78" s="17"/>
    </row>
    <row r="79">
      <c r="A79" s="13"/>
      <c r="B79" s="13"/>
      <c r="C79" s="17"/>
    </row>
    <row r="80">
      <c r="A80" s="13"/>
      <c r="B80" s="13"/>
      <c r="C80" s="17"/>
    </row>
    <row r="81">
      <c r="A81" s="13"/>
      <c r="B81" s="13"/>
      <c r="C81" s="17"/>
    </row>
    <row r="82">
      <c r="A82" s="13"/>
      <c r="B82" s="13"/>
      <c r="C82" s="17"/>
    </row>
    <row r="83">
      <c r="A83" s="13"/>
      <c r="B83" s="13"/>
      <c r="C83" s="17"/>
    </row>
    <row r="84">
      <c r="A84" s="13"/>
      <c r="B84" s="13"/>
      <c r="C84" s="17"/>
    </row>
    <row r="85">
      <c r="A85" s="13"/>
      <c r="B85" s="13"/>
      <c r="C85" s="17"/>
    </row>
    <row r="86">
      <c r="A86" s="13"/>
      <c r="B86" s="13"/>
      <c r="C86" s="17"/>
    </row>
    <row r="87">
      <c r="A87" s="13"/>
      <c r="B87" s="13"/>
      <c r="C87" s="17"/>
    </row>
    <row r="88">
      <c r="A88" s="13"/>
      <c r="B88" s="13"/>
      <c r="C88" s="17"/>
    </row>
    <row r="89">
      <c r="A89" s="13"/>
      <c r="B89" s="13"/>
      <c r="C89" s="17"/>
    </row>
    <row r="90">
      <c r="A90" s="13"/>
      <c r="B90" s="13"/>
      <c r="C90" s="17"/>
    </row>
    <row r="91">
      <c r="A91" s="13"/>
      <c r="B91" s="13"/>
      <c r="C91" s="17"/>
    </row>
    <row r="92">
      <c r="A92" s="13"/>
      <c r="B92" s="13"/>
      <c r="C92" s="17"/>
    </row>
    <row r="93">
      <c r="A93" s="13"/>
      <c r="B93" s="13"/>
      <c r="C93" s="17"/>
    </row>
    <row r="94">
      <c r="A94" s="13"/>
      <c r="B94" s="13"/>
      <c r="C94" s="17"/>
    </row>
    <row r="95">
      <c r="A95" s="13"/>
      <c r="B95" s="13"/>
      <c r="C95" s="17"/>
    </row>
    <row r="96">
      <c r="A96" s="13"/>
      <c r="B96" s="13"/>
      <c r="C96" s="17"/>
    </row>
    <row r="97">
      <c r="A97" s="13"/>
      <c r="B97" s="13"/>
      <c r="C97" s="17"/>
    </row>
    <row r="98">
      <c r="A98" s="13"/>
      <c r="B98" s="13"/>
      <c r="C98" s="17"/>
    </row>
    <row r="99">
      <c r="A99" s="13"/>
      <c r="B99" s="13"/>
      <c r="C99" s="17"/>
    </row>
    <row r="100">
      <c r="A100" s="13"/>
      <c r="B100" s="13"/>
      <c r="C100" s="17"/>
    </row>
    <row r="101">
      <c r="A101" s="13"/>
      <c r="B101" s="13"/>
      <c r="C101" s="17"/>
    </row>
    <row r="102">
      <c r="A102" s="13"/>
      <c r="B102" s="13"/>
      <c r="C102" s="17"/>
    </row>
    <row r="103">
      <c r="A103" s="13"/>
      <c r="B103" s="13"/>
      <c r="C103" s="17"/>
    </row>
    <row r="104">
      <c r="A104" s="13"/>
      <c r="B104" s="13"/>
      <c r="C104" s="17"/>
    </row>
    <row r="105">
      <c r="A105" s="13"/>
      <c r="B105" s="13"/>
      <c r="C105" s="17"/>
    </row>
    <row r="106">
      <c r="A106" s="13"/>
      <c r="B106" s="13"/>
      <c r="C106" s="17"/>
    </row>
    <row r="107">
      <c r="A107" s="13"/>
      <c r="B107" s="13"/>
      <c r="C107" s="17"/>
    </row>
    <row r="108">
      <c r="A108" s="13"/>
      <c r="B108" s="13"/>
      <c r="C108" s="17"/>
    </row>
    <row r="109">
      <c r="A109" s="13"/>
      <c r="B109" s="13"/>
      <c r="C109" s="17"/>
    </row>
    <row r="110">
      <c r="A110" s="13"/>
      <c r="B110" s="13"/>
      <c r="C110" s="17"/>
    </row>
    <row r="111">
      <c r="A111" s="13"/>
      <c r="B111" s="13"/>
      <c r="C111" s="17"/>
    </row>
    <row r="112">
      <c r="A112" s="13"/>
      <c r="B112" s="13"/>
      <c r="C112" s="17"/>
    </row>
    <row r="113">
      <c r="A113" s="13"/>
      <c r="B113" s="13"/>
      <c r="C113" s="17"/>
    </row>
    <row r="114">
      <c r="A114" s="13"/>
      <c r="B114" s="13"/>
      <c r="C114" s="17"/>
    </row>
    <row r="115">
      <c r="A115" s="13"/>
      <c r="B115" s="13"/>
      <c r="C115" s="17"/>
    </row>
    <row r="116">
      <c r="A116" s="13"/>
      <c r="B116" s="13"/>
      <c r="C116" s="17"/>
    </row>
    <row r="117">
      <c r="A117" s="13"/>
      <c r="B117" s="13"/>
      <c r="C117" s="17"/>
    </row>
    <row r="118">
      <c r="A118" s="13"/>
      <c r="B118" s="13"/>
      <c r="C118" s="17"/>
    </row>
    <row r="119">
      <c r="A119" s="13"/>
      <c r="B119" s="13"/>
      <c r="C119" s="17"/>
    </row>
    <row r="120">
      <c r="A120" s="13"/>
      <c r="B120" s="13"/>
      <c r="C120" s="17"/>
    </row>
    <row r="121">
      <c r="A121" s="13"/>
      <c r="B121" s="13"/>
      <c r="C121" s="17"/>
    </row>
    <row r="122">
      <c r="A122" s="13"/>
      <c r="B122" s="13"/>
      <c r="C122" s="17"/>
    </row>
    <row r="123">
      <c r="A123" s="13"/>
      <c r="B123" s="13"/>
      <c r="C123" s="17"/>
    </row>
    <row r="124">
      <c r="A124" s="13"/>
      <c r="B124" s="13"/>
      <c r="C124" s="17"/>
    </row>
    <row r="125">
      <c r="A125" s="13"/>
      <c r="B125" s="13"/>
      <c r="C125" s="17"/>
    </row>
    <row r="126">
      <c r="A126" s="13"/>
      <c r="B126" s="13"/>
      <c r="C126" s="17"/>
    </row>
    <row r="127">
      <c r="A127" s="13"/>
      <c r="B127" s="13"/>
      <c r="C127" s="17"/>
    </row>
    <row r="128">
      <c r="A128" s="13"/>
      <c r="B128" s="13"/>
      <c r="C128" s="17"/>
    </row>
    <row r="129">
      <c r="A129" s="13"/>
      <c r="B129" s="13"/>
      <c r="C129" s="17"/>
    </row>
    <row r="130">
      <c r="A130" s="13"/>
      <c r="B130" s="13"/>
      <c r="C130" s="17"/>
    </row>
    <row r="131">
      <c r="A131" s="13"/>
      <c r="B131" s="13"/>
      <c r="C131" s="17"/>
    </row>
    <row r="132">
      <c r="A132" s="13"/>
      <c r="B132" s="13"/>
      <c r="C132" s="17"/>
    </row>
    <row r="133">
      <c r="A133" s="13"/>
      <c r="B133" s="13"/>
      <c r="C133" s="17"/>
    </row>
    <row r="134">
      <c r="A134" s="13"/>
      <c r="B134" s="13"/>
      <c r="C134" s="17"/>
    </row>
    <row r="135">
      <c r="A135" s="13"/>
      <c r="B135" s="13"/>
      <c r="C135" s="17"/>
    </row>
    <row r="136">
      <c r="A136" s="13"/>
      <c r="B136" s="13"/>
      <c r="C136" s="17"/>
    </row>
    <row r="137">
      <c r="A137" s="13"/>
      <c r="B137" s="13"/>
      <c r="C137" s="17"/>
    </row>
    <row r="138">
      <c r="A138" s="13"/>
      <c r="B138" s="13"/>
      <c r="C138" s="17"/>
    </row>
    <row r="139">
      <c r="A139" s="13"/>
      <c r="B139" s="13"/>
      <c r="C139" s="17"/>
    </row>
    <row r="140">
      <c r="A140" s="13"/>
      <c r="B140" s="13"/>
      <c r="C140" s="17"/>
    </row>
    <row r="141">
      <c r="A141" s="13"/>
      <c r="B141" s="13"/>
      <c r="C141" s="17"/>
    </row>
    <row r="142">
      <c r="A142" s="13"/>
      <c r="B142" s="13"/>
      <c r="C142" s="17"/>
    </row>
    <row r="143">
      <c r="A143" s="13"/>
      <c r="B143" s="13"/>
      <c r="C143" s="17"/>
    </row>
    <row r="144">
      <c r="A144" s="13"/>
      <c r="B144" s="13"/>
      <c r="C144" s="17"/>
    </row>
    <row r="145">
      <c r="A145" s="13"/>
      <c r="B145" s="13"/>
      <c r="C145" s="17"/>
    </row>
    <row r="146">
      <c r="A146" s="13"/>
      <c r="B146" s="13"/>
      <c r="C146" s="17"/>
    </row>
    <row r="147">
      <c r="A147" s="13"/>
      <c r="B147" s="13"/>
      <c r="C147" s="17"/>
    </row>
    <row r="148">
      <c r="A148" s="13"/>
      <c r="B148" s="13"/>
      <c r="C148" s="17"/>
    </row>
    <row r="149">
      <c r="A149" s="13"/>
      <c r="B149" s="13"/>
      <c r="C149" s="17"/>
    </row>
    <row r="150">
      <c r="A150" s="13"/>
      <c r="B150" s="13"/>
      <c r="C150" s="17"/>
    </row>
    <row r="151">
      <c r="A151" s="13"/>
      <c r="B151" s="13"/>
      <c r="C151" s="17"/>
    </row>
    <row r="152">
      <c r="A152" s="13"/>
      <c r="B152" s="13"/>
      <c r="C152" s="17"/>
    </row>
    <row r="153">
      <c r="A153" s="13"/>
      <c r="B153" s="13"/>
      <c r="C153" s="17"/>
    </row>
    <row r="154">
      <c r="A154" s="13"/>
      <c r="B154" s="13"/>
      <c r="C154" s="17"/>
    </row>
    <row r="155">
      <c r="A155" s="13"/>
      <c r="B155" s="13"/>
      <c r="C155" s="17"/>
    </row>
    <row r="156">
      <c r="A156" s="13"/>
      <c r="B156" s="13"/>
      <c r="C156" s="17"/>
    </row>
    <row r="157">
      <c r="A157" s="13"/>
      <c r="B157" s="13"/>
      <c r="C157" s="17"/>
    </row>
    <row r="158">
      <c r="A158" s="13"/>
      <c r="B158" s="13"/>
      <c r="C158" s="17"/>
    </row>
    <row r="159">
      <c r="A159" s="13"/>
      <c r="B159" s="13"/>
      <c r="C159" s="17"/>
    </row>
    <row r="160">
      <c r="A160" s="13"/>
      <c r="B160" s="13"/>
      <c r="C160" s="17"/>
    </row>
    <row r="161">
      <c r="A161" s="13"/>
      <c r="B161" s="13"/>
      <c r="C161" s="17"/>
    </row>
    <row r="162">
      <c r="A162" s="13"/>
      <c r="B162" s="13"/>
      <c r="C162" s="17"/>
    </row>
    <row r="163">
      <c r="A163" s="13"/>
      <c r="B163" s="13"/>
      <c r="C163" s="17"/>
    </row>
    <row r="164">
      <c r="A164" s="13"/>
      <c r="B164" s="13"/>
      <c r="C164" s="17"/>
    </row>
    <row r="165">
      <c r="A165" s="13"/>
      <c r="B165" s="13"/>
      <c r="C165" s="17"/>
    </row>
    <row r="166">
      <c r="A166" s="13"/>
      <c r="B166" s="13"/>
      <c r="C166" s="17"/>
    </row>
    <row r="167">
      <c r="A167" s="13"/>
      <c r="B167" s="13"/>
      <c r="C167" s="17"/>
    </row>
    <row r="168">
      <c r="A168" s="13"/>
      <c r="B168" s="13"/>
      <c r="C168" s="17"/>
    </row>
    <row r="169">
      <c r="A169" s="13"/>
      <c r="B169" s="13"/>
      <c r="C169" s="17"/>
    </row>
    <row r="170">
      <c r="A170" s="13"/>
      <c r="B170" s="13"/>
      <c r="C170" s="17"/>
    </row>
    <row r="171">
      <c r="A171" s="13"/>
      <c r="B171" s="13"/>
      <c r="C171" s="17"/>
    </row>
    <row r="172">
      <c r="A172" s="13"/>
      <c r="B172" s="13"/>
      <c r="C172" s="17"/>
    </row>
    <row r="173">
      <c r="A173" s="13"/>
      <c r="B173" s="13"/>
      <c r="C173" s="17"/>
    </row>
    <row r="174">
      <c r="A174" s="13"/>
      <c r="B174" s="13"/>
      <c r="C174" s="17"/>
    </row>
    <row r="175">
      <c r="A175" s="13"/>
      <c r="B175" s="13"/>
      <c r="C175" s="17"/>
    </row>
    <row r="176">
      <c r="A176" s="13"/>
      <c r="B176" s="13"/>
      <c r="C176" s="17"/>
    </row>
    <row r="177">
      <c r="A177" s="13"/>
      <c r="B177" s="13"/>
      <c r="C177" s="17"/>
    </row>
    <row r="178">
      <c r="A178" s="13"/>
      <c r="B178" s="13"/>
      <c r="C178" s="17"/>
    </row>
    <row r="179">
      <c r="A179" s="13"/>
      <c r="B179" s="13"/>
      <c r="C179" s="17"/>
    </row>
    <row r="180">
      <c r="A180" s="13"/>
      <c r="B180" s="13"/>
      <c r="C180" s="17"/>
    </row>
    <row r="181">
      <c r="A181" s="13"/>
      <c r="B181" s="13"/>
      <c r="C181" s="17"/>
    </row>
    <row r="182">
      <c r="A182" s="13"/>
      <c r="B182" s="13"/>
      <c r="C182" s="17"/>
    </row>
    <row r="183">
      <c r="A183" s="13"/>
      <c r="B183" s="13"/>
      <c r="C183" s="17"/>
    </row>
    <row r="184">
      <c r="A184" s="13"/>
      <c r="B184" s="13"/>
      <c r="C184" s="17"/>
    </row>
    <row r="185">
      <c r="A185" s="13"/>
      <c r="B185" s="13"/>
      <c r="C185" s="17"/>
    </row>
    <row r="186">
      <c r="A186" s="13"/>
      <c r="B186" s="13"/>
      <c r="C186" s="17"/>
    </row>
    <row r="187">
      <c r="A187" s="13"/>
      <c r="B187" s="13"/>
      <c r="C187" s="17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</sheetData>
  <conditionalFormatting sqref="D2:AY187">
    <cfRule type="cellIs" dxfId="0" priority="1" operator="equal">
      <formula>2</formula>
    </cfRule>
  </conditionalFormatting>
  <conditionalFormatting sqref="D2:AY187">
    <cfRule type="cellIs" dxfId="1" priority="2" operator="equal">
      <formula>1</formula>
    </cfRule>
  </conditionalFormatting>
  <conditionalFormatting sqref="AI20">
    <cfRule type="notContainsBlanks" dxfId="0" priority="3">
      <formula>LEN(TRIM(AI20))&gt;0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8.88"/>
    <col customWidth="1" min="3" max="3" width="9.13"/>
    <col customWidth="1" min="4" max="4" width="9.0"/>
    <col customWidth="1" min="5" max="5" width="10.88"/>
    <col customWidth="1" hidden="1" min="6" max="6" width="4.38"/>
    <col customWidth="1" min="7" max="7" width="7.75"/>
    <col customWidth="1" min="8" max="8" width="2.5"/>
    <col customWidth="1" min="9" max="9" width="3.38"/>
    <col customWidth="1" min="10" max="10" width="4.88"/>
    <col customWidth="1" min="11" max="11" width="13.75"/>
    <col customWidth="1" min="12" max="12" width="3.5"/>
    <col customWidth="1" min="13" max="13" width="3.38"/>
    <col customWidth="1" min="14" max="14" width="4.13"/>
    <col customWidth="1" min="15" max="15" width="15.63"/>
    <col customWidth="1" min="16" max="16" width="3.5"/>
    <col customWidth="1" min="17" max="17" width="3.75"/>
    <col customWidth="1" min="18" max="18" width="8.13"/>
    <col customWidth="1" min="19" max="19" width="16.5"/>
    <col customWidth="1" min="20" max="20" width="5.38"/>
    <col customWidth="1" min="22" max="22" width="16.38"/>
  </cols>
  <sheetData>
    <row r="1" ht="42.0" customHeight="1">
      <c r="A1" s="18" t="s">
        <v>44</v>
      </c>
      <c r="B1" s="18"/>
      <c r="C1" s="19"/>
      <c r="D1" s="19"/>
      <c r="E1" s="19"/>
      <c r="F1" s="20"/>
      <c r="G1" s="20"/>
      <c r="H1" s="20"/>
      <c r="I1" s="19"/>
      <c r="J1" s="19"/>
      <c r="K1" s="19"/>
      <c r="L1" s="21"/>
      <c r="M1" s="19"/>
      <c r="N1" s="19"/>
      <c r="O1" s="19"/>
      <c r="P1" s="21"/>
      <c r="Q1" s="22"/>
      <c r="R1" s="19"/>
      <c r="S1" s="19"/>
      <c r="T1" s="21"/>
      <c r="U1" s="21"/>
      <c r="V1" s="21"/>
    </row>
    <row r="2" ht="8.25" customHeight="1">
      <c r="B2" s="23"/>
      <c r="C2" s="23"/>
      <c r="D2" s="23"/>
      <c r="E2" s="23"/>
      <c r="F2" s="24"/>
      <c r="G2" s="24"/>
      <c r="H2" s="24"/>
      <c r="I2" s="23"/>
      <c r="J2" s="23"/>
      <c r="K2" s="23"/>
      <c r="L2" s="25"/>
      <c r="M2" s="23"/>
      <c r="N2" s="23"/>
      <c r="O2" s="23"/>
      <c r="P2" s="25"/>
      <c r="Q2" s="26"/>
      <c r="R2" s="23"/>
      <c r="S2" s="23"/>
    </row>
    <row r="3" ht="16.5" customHeight="1">
      <c r="B3" s="23" t="s">
        <v>45</v>
      </c>
      <c r="C3" s="27">
        <f>max(Partidos!B4:B491)</f>
        <v>46035</v>
      </c>
      <c r="D3" s="23"/>
      <c r="E3" s="23" t="s">
        <v>46</v>
      </c>
      <c r="F3" s="24"/>
      <c r="G3" s="24">
        <f>COUNTIF(Partidos!C2:C502,"&lt;&gt;")</f>
        <v>62</v>
      </c>
      <c r="H3" s="24"/>
      <c r="I3" s="23"/>
      <c r="J3" s="23"/>
      <c r="K3" s="23"/>
      <c r="L3" s="25"/>
      <c r="M3" s="23"/>
      <c r="N3" s="23"/>
      <c r="O3" s="23"/>
      <c r="P3" s="25"/>
      <c r="Q3" s="26"/>
      <c r="R3" s="23"/>
      <c r="S3" s="23"/>
    </row>
    <row r="4">
      <c r="B4" s="23"/>
      <c r="C4" s="23"/>
      <c r="D4" s="23"/>
      <c r="E4" s="23"/>
      <c r="F4" s="25"/>
      <c r="G4" s="25"/>
      <c r="H4" s="25"/>
      <c r="I4" s="23"/>
      <c r="J4" s="23"/>
      <c r="K4" s="23"/>
      <c r="L4" s="25"/>
      <c r="M4" s="23"/>
      <c r="N4" s="23"/>
      <c r="O4" s="23"/>
      <c r="P4" s="25"/>
      <c r="Q4" s="26"/>
      <c r="R4" s="23"/>
      <c r="S4" s="23"/>
    </row>
    <row r="5">
      <c r="B5" s="28" t="s">
        <v>47</v>
      </c>
      <c r="C5" s="28" t="s">
        <v>48</v>
      </c>
      <c r="D5" s="28" t="s">
        <v>49</v>
      </c>
      <c r="E5" s="28" t="s">
        <v>50</v>
      </c>
      <c r="F5" s="28" t="s">
        <v>51</v>
      </c>
      <c r="G5" s="28" t="s">
        <v>52</v>
      </c>
      <c r="I5" s="28"/>
      <c r="J5" s="28" t="s">
        <v>53</v>
      </c>
      <c r="M5" s="28"/>
      <c r="N5" s="28" t="s">
        <v>54</v>
      </c>
      <c r="Q5" s="29"/>
      <c r="R5" s="28" t="s">
        <v>55</v>
      </c>
      <c r="U5" s="28" t="s">
        <v>56</v>
      </c>
      <c r="V5" s="30"/>
    </row>
    <row r="6">
      <c r="A6" s="31" t="s">
        <v>3</v>
      </c>
      <c r="B6" s="32">
        <f>COUNT(Partidos!D2:D292)</f>
        <v>4</v>
      </c>
      <c r="C6" s="32">
        <f>COUNTIF(Partidos!D2:D292,"&gt;1")</f>
        <v>2</v>
      </c>
      <c r="D6" s="33">
        <f t="shared" ref="D6:D46" si="1">B6+C6</f>
        <v>6</v>
      </c>
      <c r="E6" s="34">
        <f t="shared" ref="E6:E46" si="2">IF(C6=0,0,C6/B6)</f>
        <v>0.5</v>
      </c>
      <c r="F6" s="35">
        <f t="shared" ref="F6:F46" si="3">IF(B6&gt;($G$3*0.25),1,0)</f>
        <v>0</v>
      </c>
      <c r="G6" s="36" t="str">
        <f>IFERROR(__xludf.DUMMYFUNCTION("SUBSTITUTE(SUBSTITUTE(TEXTJOIN("""",TRUE,QUERY(Partidos!$A$2:Partidos!$AY$400,""Select D WHERE D IS NOT NULL Order By A DESC limit 5"")),""1"",""🔴""),""2"",""🟢"")"),"🔴🔴🟢🟢")</f>
        <v>🔴🔴🟢🟢</v>
      </c>
      <c r="H6" s="35"/>
      <c r="I6" s="37" t="s">
        <v>57</v>
      </c>
      <c r="J6" s="38">
        <f>IFERROR(__xludf.DUMMYFUNCTION("QUERY(A6:E972,""Select D Order By D DESC limit 42"")"),95.0)</f>
        <v>95</v>
      </c>
      <c r="K6" s="39" t="str">
        <f>IFERROR(__xludf.DUMMYFUNCTION("QUERY(A6:E972,""Select A Order By D DESC, C DESC limit 42"")"),"Txus")</f>
        <v>Txus</v>
      </c>
      <c r="M6" s="37" t="s">
        <v>57</v>
      </c>
      <c r="N6" s="38">
        <f>IFERROR(__xludf.DUMMYFUNCTION("QUERY(A6:E972,""Select B Order By B DESC limit 42"")"),60.0)</f>
        <v>60</v>
      </c>
      <c r="O6" s="39" t="str">
        <f>IFERROR(__xludf.DUMMYFUNCTION("QUERY(A6:E972,""Select A Order By B DESC limit 42"")"),"Txus")</f>
        <v>Txus</v>
      </c>
      <c r="Q6" s="40" t="s">
        <v>57</v>
      </c>
      <c r="R6" s="41">
        <f>IFERROR(__xludf.DUMMYFUNCTION("QUERY(A6:F972,""Select E WHERE F&gt;0 Order By E DESC, B ASC limit 42"")"),0.7142857142857143)</f>
        <v>0.7142857143</v>
      </c>
      <c r="S6" s="39" t="str">
        <f>IFERROR(__xludf.DUMMYFUNCTION("QUERY(A6:F972,""Select A WHERE F&gt;0 Order By E DESC, B ASC limit 42"")"),"Miguel T.")</f>
        <v>Miguel T.</v>
      </c>
      <c r="U6" s="3" t="s">
        <v>58</v>
      </c>
      <c r="V6" s="42" t="s">
        <v>59</v>
      </c>
    </row>
    <row r="7">
      <c r="A7" s="31" t="s">
        <v>60</v>
      </c>
      <c r="B7" s="32">
        <f>COUNT(Partidos!E2:E293)</f>
        <v>56</v>
      </c>
      <c r="C7" s="32">
        <f>COUNTIF(Partidos!E2:E293,"&gt;1")</f>
        <v>24</v>
      </c>
      <c r="D7" s="33">
        <f t="shared" si="1"/>
        <v>80</v>
      </c>
      <c r="E7" s="34">
        <f t="shared" si="2"/>
        <v>0.4285714286</v>
      </c>
      <c r="F7" s="35">
        <f t="shared" si="3"/>
        <v>1</v>
      </c>
      <c r="G7" s="36" t="str">
        <f>IFERROR(__xludf.DUMMYFUNCTION("SUBSTITUTE(SUBSTITUTE(TEXTJOIN("""",TRUE,QUERY(Partidos!$A$2:Partidos!$AY$400,""Select E WHERE E IS NOT NULL Order By A DESC limit 5"")),""1"",""🔴""),""2"",""🟢"")"),"🔴🔴🔴🔴🟢")</f>
        <v>🔴🔴🔴🔴🟢</v>
      </c>
      <c r="H7" s="43"/>
      <c r="I7" s="44" t="s">
        <v>61</v>
      </c>
      <c r="J7" s="45">
        <f>IFERROR(__xludf.DUMMYFUNCTION("""COMPUTED_VALUE"""),80.0)</f>
        <v>80</v>
      </c>
      <c r="K7" s="46" t="str">
        <f>IFERROR(__xludf.DUMMYFUNCTION("""COMPUTED_VALUE"""),"Aitor Andonegi")</f>
        <v>Aitor Andonegi</v>
      </c>
      <c r="M7" s="44" t="s">
        <v>61</v>
      </c>
      <c r="N7" s="46">
        <f>IFERROR(__xludf.DUMMYFUNCTION("""COMPUTED_VALUE"""),56.0)</f>
        <v>56</v>
      </c>
      <c r="O7" s="46" t="str">
        <f>IFERROR(__xludf.DUMMYFUNCTION("""COMPUTED_VALUE"""),"Aitor Andonegi")</f>
        <v>Aitor Andonegi</v>
      </c>
      <c r="Q7" s="47" t="s">
        <v>61</v>
      </c>
      <c r="R7" s="48">
        <f>IFERROR(__xludf.DUMMYFUNCTION("""COMPUTED_VALUE"""),0.7142857142857143)</f>
        <v>0.7142857143</v>
      </c>
      <c r="S7" s="46" t="str">
        <f>IFERROR(__xludf.DUMMYFUNCTION("""COMPUTED_VALUE"""),"Unai")</f>
        <v>Unai</v>
      </c>
      <c r="U7" s="3" t="s">
        <v>62</v>
      </c>
      <c r="V7" s="42" t="s">
        <v>59</v>
      </c>
    </row>
    <row r="8">
      <c r="A8" s="31" t="s">
        <v>63</v>
      </c>
      <c r="B8" s="32">
        <f>COUNT(Partidos!F2:F294)</f>
        <v>2</v>
      </c>
      <c r="C8" s="32">
        <f>COUNTIF(Partidos!F2:F294,"&gt;1")</f>
        <v>1</v>
      </c>
      <c r="D8" s="33">
        <f t="shared" si="1"/>
        <v>3</v>
      </c>
      <c r="E8" s="34">
        <f t="shared" si="2"/>
        <v>0.5</v>
      </c>
      <c r="F8" s="35">
        <f t="shared" si="3"/>
        <v>0</v>
      </c>
      <c r="G8" s="36" t="str">
        <f>IFERROR(__xludf.DUMMYFUNCTION("SUBSTITUTE(SUBSTITUTE(TEXTJOIN("""",TRUE,QUERY(Partidos!$A$2:Partidos!$AY$400,""Select F WHERE F IS NOT NULL Order By A DESC limit 5"")),""1"",""🔴""),""2"",""🟢"")"),"🔴🟢")</f>
        <v>🔴🟢</v>
      </c>
      <c r="H8" s="43"/>
      <c r="I8" s="49" t="s">
        <v>64</v>
      </c>
      <c r="J8" s="50">
        <f>IFERROR(__xludf.DUMMYFUNCTION("""COMPUTED_VALUE"""),74.0)</f>
        <v>74</v>
      </c>
      <c r="K8" s="51" t="str">
        <f>IFERROR(__xludf.DUMMYFUNCTION("""COMPUTED_VALUE"""),"Sixers")</f>
        <v>Sixers</v>
      </c>
      <c r="M8" s="49" t="s">
        <v>64</v>
      </c>
      <c r="N8" s="51">
        <f>IFERROR(__xludf.DUMMYFUNCTION("""COMPUTED_VALUE"""),53.0)</f>
        <v>53</v>
      </c>
      <c r="O8" s="51" t="str">
        <f>IFERROR(__xludf.DUMMYFUNCTION("""COMPUTED_VALUE"""),"Sixers")</f>
        <v>Sixers</v>
      </c>
      <c r="Q8" s="52" t="s">
        <v>64</v>
      </c>
      <c r="R8" s="53">
        <f>IFERROR(__xludf.DUMMYFUNCTION("""COMPUTED_VALUE"""),0.6976744186046512)</f>
        <v>0.6976744186</v>
      </c>
      <c r="S8" s="51" t="str">
        <f>IFERROR(__xludf.DUMMYFUNCTION("""COMPUTED_VALUE"""),"Óscar")</f>
        <v>Óscar</v>
      </c>
      <c r="U8" s="3" t="s">
        <v>65</v>
      </c>
      <c r="V8" s="42" t="s">
        <v>66</v>
      </c>
    </row>
    <row r="9">
      <c r="A9" s="31" t="s">
        <v>6</v>
      </c>
      <c r="B9" s="32">
        <f>COUNT(Partidos!G2:G293)</f>
        <v>13</v>
      </c>
      <c r="C9" s="32">
        <f>COUNTIF(Partidos!G2:G293,"&gt;1")</f>
        <v>10</v>
      </c>
      <c r="D9" s="33">
        <f t="shared" si="1"/>
        <v>23</v>
      </c>
      <c r="E9" s="34">
        <f t="shared" si="2"/>
        <v>0.7692307692</v>
      </c>
      <c r="F9" s="35">
        <f t="shared" si="3"/>
        <v>0</v>
      </c>
      <c r="G9" s="36" t="str">
        <f>IFERROR(__xludf.DUMMYFUNCTION("SUBSTITUTE(SUBSTITUTE(TEXTJOIN("""",TRUE,QUERY(Partidos!$A$2:Partidos!$AY$400,""Select G WHERE G IS NOT NULL Order By A DESC limit 5"")),""1"",""🔴""),""2"",""🟢"")"),"🔴🟢🟢🟢🟢")</f>
        <v>🔴🟢🟢🟢🟢</v>
      </c>
      <c r="H9" s="43"/>
      <c r="J9" s="54">
        <f>IFERROR(__xludf.DUMMYFUNCTION("""COMPUTED_VALUE"""),73.0)</f>
        <v>73</v>
      </c>
      <c r="K9" s="55" t="str">
        <f>IFERROR(__xludf.DUMMYFUNCTION("""COMPUTED_VALUE"""),"Óscar")</f>
        <v>Óscar</v>
      </c>
      <c r="N9" s="55">
        <f>IFERROR(__xludf.DUMMYFUNCTION("""COMPUTED_VALUE"""),49.0)</f>
        <v>49</v>
      </c>
      <c r="O9" s="55" t="str">
        <f>IFERROR(__xludf.DUMMYFUNCTION("""COMPUTED_VALUE"""),"Eddy")</f>
        <v>Eddy</v>
      </c>
      <c r="Q9" s="10"/>
      <c r="R9" s="56">
        <f>IFERROR(__xludf.DUMMYFUNCTION("""COMPUTED_VALUE"""),0.6)</f>
        <v>0.6</v>
      </c>
      <c r="S9" s="55" t="str">
        <f>IFERROR(__xludf.DUMMYFUNCTION("""COMPUTED_VALUE"""),"Jon A.")</f>
        <v>Jon A.</v>
      </c>
      <c r="U9" s="3" t="s">
        <v>67</v>
      </c>
    </row>
    <row r="10">
      <c r="A10" s="31" t="s">
        <v>7</v>
      </c>
      <c r="B10" s="32">
        <f>COUNT(Partidos!H2:H96)</f>
        <v>31</v>
      </c>
      <c r="C10" s="32">
        <f>COUNTIF(Partidos!H2:H296,"&gt;1")</f>
        <v>11</v>
      </c>
      <c r="D10" s="33">
        <f t="shared" si="1"/>
        <v>42</v>
      </c>
      <c r="E10" s="34">
        <f t="shared" si="2"/>
        <v>0.3548387097</v>
      </c>
      <c r="F10" s="35">
        <f t="shared" si="3"/>
        <v>1</v>
      </c>
      <c r="G10" s="36" t="str">
        <f>IFERROR(__xludf.DUMMYFUNCTION("SUBSTITUTE(SUBSTITUTE(TEXTJOIN("""",TRUE,QUERY(Partidos!$A$2:Partidos!$AY$400,""Select H WHERE H IS NOT NULL Order By A DESC limit 5"")),""1"",""🔴""),""2"",""🟢"")"),"🔴🔴🔴🔴🟢")</f>
        <v>🔴🔴🔴🔴🟢</v>
      </c>
      <c r="H10" s="43"/>
      <c r="J10" s="54">
        <f>IFERROR(__xludf.DUMMYFUNCTION("""COMPUTED_VALUE"""),72.0)</f>
        <v>72</v>
      </c>
      <c r="K10" s="55" t="str">
        <f>IFERROR(__xludf.DUMMYFUNCTION("""COMPUTED_VALUE"""),"Unai")</f>
        <v>Unai</v>
      </c>
      <c r="N10" s="55">
        <f>IFERROR(__xludf.DUMMYFUNCTION("""COMPUTED_VALUE"""),44.0)</f>
        <v>44</v>
      </c>
      <c r="O10" s="55" t="str">
        <f>IFERROR(__xludf.DUMMYFUNCTION("""COMPUTED_VALUE"""),"Iñaki")</f>
        <v>Iñaki</v>
      </c>
      <c r="Q10" s="10"/>
      <c r="R10" s="56">
        <f>IFERROR(__xludf.DUMMYFUNCTION("""COMPUTED_VALUE"""),0.5833333333333334)</f>
        <v>0.5833333333</v>
      </c>
      <c r="S10" s="55" t="str">
        <f>IFERROR(__xludf.DUMMYFUNCTION("""COMPUTED_VALUE"""),"Txus")</f>
        <v>Txus</v>
      </c>
      <c r="U10" s="3" t="s">
        <v>68</v>
      </c>
    </row>
    <row r="11" ht="16.5" customHeight="1">
      <c r="A11" s="31" t="s">
        <v>8</v>
      </c>
      <c r="B11" s="32">
        <f>COUNT(Partidos!I2:I293)</f>
        <v>32</v>
      </c>
      <c r="C11" s="32">
        <f>COUNTIF(Partidos!I2:I293,"&gt;1")</f>
        <v>17</v>
      </c>
      <c r="D11" s="33">
        <f t="shared" si="1"/>
        <v>49</v>
      </c>
      <c r="E11" s="34">
        <f t="shared" si="2"/>
        <v>0.53125</v>
      </c>
      <c r="F11" s="35">
        <f t="shared" si="3"/>
        <v>1</v>
      </c>
      <c r="G11" s="36" t="str">
        <f>IFERROR(__xludf.DUMMYFUNCTION("SUBSTITUTE(SUBSTITUTE(TEXTJOIN("""",TRUE,QUERY(Partidos!$A$2:Partidos!$AY$400,""Select I WHERE I IS NOT NULL Order By A DESC limit 5"")),""1"",""🔴""),""2"",""🟢"")"),"🟢🟢🔴🟢🔴")</f>
        <v>🟢🟢🔴🟢🔴</v>
      </c>
      <c r="H11" s="43"/>
      <c r="J11" s="54">
        <f>IFERROR(__xludf.DUMMYFUNCTION("""COMPUTED_VALUE"""),69.0)</f>
        <v>69</v>
      </c>
      <c r="K11" s="55" t="str">
        <f>IFERROR(__xludf.DUMMYFUNCTION("""COMPUTED_VALUE"""),"Eddy")</f>
        <v>Eddy</v>
      </c>
      <c r="N11" s="55">
        <f>IFERROR(__xludf.DUMMYFUNCTION("""COMPUTED_VALUE"""),43.0)</f>
        <v>43</v>
      </c>
      <c r="O11" s="55" t="str">
        <f>IFERROR(__xludf.DUMMYFUNCTION("""COMPUTED_VALUE"""),"Óscar")</f>
        <v>Óscar</v>
      </c>
      <c r="Q11" s="10"/>
      <c r="R11" s="56">
        <f>IFERROR(__xludf.DUMMYFUNCTION("""COMPUTED_VALUE"""),0.5666666666666667)</f>
        <v>0.5666666667</v>
      </c>
      <c r="S11" s="55" t="str">
        <f>IFERROR(__xludf.DUMMYFUNCTION("""COMPUTED_VALUE"""),"Enrique")</f>
        <v>Enrique</v>
      </c>
      <c r="U11" s="3" t="s">
        <v>69</v>
      </c>
    </row>
    <row r="12" ht="16.5" customHeight="1">
      <c r="A12" s="31" t="s">
        <v>9</v>
      </c>
      <c r="B12" s="32">
        <f>COUNT(Partidos!J2:J291)</f>
        <v>49</v>
      </c>
      <c r="C12" s="32">
        <f>COUNTIF(Partidos!J2:J292,"&gt;1")</f>
        <v>20</v>
      </c>
      <c r="D12" s="33">
        <f t="shared" si="1"/>
        <v>69</v>
      </c>
      <c r="E12" s="34">
        <f t="shared" si="2"/>
        <v>0.4081632653</v>
      </c>
      <c r="F12" s="35">
        <f t="shared" si="3"/>
        <v>1</v>
      </c>
      <c r="G12" s="36" t="str">
        <f>IFERROR(__xludf.DUMMYFUNCTION("SUBSTITUTE(SUBSTITUTE(TEXTJOIN("""",TRUE,QUERY(Partidos!$A$2:Partidos!$AY$400,""Select J WHERE J IS NOT NULL Order By A DESC limit 5"")),""1"",""🔴""),""2"",""🟢"")"),"🟢🟢🔴🟢🔴")</f>
        <v>🟢🟢🔴🟢🔴</v>
      </c>
      <c r="H12" s="43"/>
      <c r="J12" s="54">
        <f>IFERROR(__xludf.DUMMYFUNCTION("""COMPUTED_VALUE"""),62.0)</f>
        <v>62</v>
      </c>
      <c r="K12" s="55" t="str">
        <f>IFERROR(__xludf.DUMMYFUNCTION("""COMPUTED_VALUE"""),"Iñaki")</f>
        <v>Iñaki</v>
      </c>
      <c r="N12" s="55">
        <f>IFERROR(__xludf.DUMMYFUNCTION("""COMPUTED_VALUE"""),42.0)</f>
        <v>42</v>
      </c>
      <c r="O12" s="55" t="str">
        <f>IFERROR(__xludf.DUMMYFUNCTION("""COMPUTED_VALUE"""),"Unai")</f>
        <v>Unai</v>
      </c>
      <c r="Q12" s="10"/>
      <c r="R12" s="56">
        <f>IFERROR(__xludf.DUMMYFUNCTION("""COMPUTED_VALUE"""),0.53125)</f>
        <v>0.53125</v>
      </c>
      <c r="S12" s="55" t="str">
        <f>IFERROR(__xludf.DUMMYFUNCTION("""COMPUTED_VALUE"""),"David Ras")</f>
        <v>David Ras</v>
      </c>
      <c r="U12" s="3" t="s">
        <v>70</v>
      </c>
    </row>
    <row r="13" ht="15.75" customHeight="1">
      <c r="A13" s="31" t="s">
        <v>10</v>
      </c>
      <c r="B13" s="32">
        <f>COUNT(Partidos!K2:K292)</f>
        <v>30</v>
      </c>
      <c r="C13" s="32">
        <f>COUNTIF(Partidos!K3:K293,"&gt;1")</f>
        <v>17</v>
      </c>
      <c r="D13" s="33">
        <f t="shared" si="1"/>
        <v>47</v>
      </c>
      <c r="E13" s="34">
        <f t="shared" si="2"/>
        <v>0.5666666667</v>
      </c>
      <c r="F13" s="35">
        <f t="shared" si="3"/>
        <v>1</v>
      </c>
      <c r="G13" s="36" t="str">
        <f>IFERROR(__xludf.DUMMYFUNCTION("SUBSTITUTE(SUBSTITUTE(TEXTJOIN("""",TRUE,QUERY(Partidos!$A$2:Partidos!$AY$400,""Select K WHERE K IS NOT NULL Order By A DESC limit 5"")),""1"",""🔴""),""2"",""🟢"")"),"🔴🔴🟢🟢🟢")</f>
        <v>🔴🔴🟢🟢🟢</v>
      </c>
      <c r="H13" s="43"/>
      <c r="J13" s="54">
        <f>IFERROR(__xludf.DUMMYFUNCTION("""COMPUTED_VALUE"""),57.0)</f>
        <v>57</v>
      </c>
      <c r="K13" s="55" t="str">
        <f>IFERROR(__xludf.DUMMYFUNCTION("""COMPUTED_VALUE"""),"Telmo")</f>
        <v>Telmo</v>
      </c>
      <c r="N13" s="55">
        <f>IFERROR(__xludf.DUMMYFUNCTION("""COMPUTED_VALUE"""),41.0)</f>
        <v>41</v>
      </c>
      <c r="O13" s="55" t="str">
        <f>IFERROR(__xludf.DUMMYFUNCTION("""COMPUTED_VALUE"""),"Telmo")</f>
        <v>Telmo</v>
      </c>
      <c r="Q13" s="10"/>
      <c r="R13" s="56">
        <f>IFERROR(__xludf.DUMMYFUNCTION("""COMPUTED_VALUE"""),0.5)</f>
        <v>0.5</v>
      </c>
      <c r="S13" s="55" t="str">
        <f>IFERROR(__xludf.DUMMYFUNCTION("""COMPUTED_VALUE"""),"Fer")</f>
        <v>Fer</v>
      </c>
      <c r="U13" s="3" t="s">
        <v>71</v>
      </c>
    </row>
    <row r="14" ht="15.75" customHeight="1">
      <c r="A14" s="31" t="s">
        <v>11</v>
      </c>
      <c r="B14" s="32">
        <f>COUNT(Partidos!L2:L292)</f>
        <v>34</v>
      </c>
      <c r="C14" s="32">
        <f>COUNTIF(Partidos!L2:L291,"&gt;1")</f>
        <v>17</v>
      </c>
      <c r="D14" s="33">
        <f t="shared" si="1"/>
        <v>51</v>
      </c>
      <c r="E14" s="34">
        <f t="shared" si="2"/>
        <v>0.5</v>
      </c>
      <c r="F14" s="35">
        <f t="shared" si="3"/>
        <v>1</v>
      </c>
      <c r="G14" s="36" t="str">
        <f>IFERROR(__xludf.DUMMYFUNCTION("SUBSTITUTE(SUBSTITUTE(TEXTJOIN("""",TRUE,QUERY(Partidos!$A$2:Partidos!$AY$400,""Select L WHERE L IS NOT NULL Order By A DESC limit 5"")),""1"",""🔴""),""2"",""🟢"")"),"🔴🔴🟢🔴🔴")</f>
        <v>🔴🔴🟢🔴🔴</v>
      </c>
      <c r="H14" s="43"/>
      <c r="J14" s="54">
        <f>IFERROR(__xludf.DUMMYFUNCTION("""COMPUTED_VALUE"""),51.0)</f>
        <v>51</v>
      </c>
      <c r="K14" s="55" t="str">
        <f>IFERROR(__xludf.DUMMYFUNCTION("""COMPUTED_VALUE"""),"Fer")</f>
        <v>Fer</v>
      </c>
      <c r="N14" s="55">
        <f>IFERROR(__xludf.DUMMYFUNCTION("""COMPUTED_VALUE"""),34.0)</f>
        <v>34</v>
      </c>
      <c r="O14" s="55" t="str">
        <f>IFERROR(__xludf.DUMMYFUNCTION("""COMPUTED_VALUE"""),"Fer")</f>
        <v>Fer</v>
      </c>
      <c r="Q14" s="10"/>
      <c r="R14" s="56">
        <f>IFERROR(__xludf.DUMMYFUNCTION("""COMPUTED_VALUE"""),0.42857142857142855)</f>
        <v>0.4285714286</v>
      </c>
      <c r="S14" s="55" t="str">
        <f>IFERROR(__xludf.DUMMYFUNCTION("""COMPUTED_VALUE"""),"Aitor Andonegi")</f>
        <v>Aitor Andonegi</v>
      </c>
      <c r="U14" s="3" t="s">
        <v>72</v>
      </c>
    </row>
    <row r="15" ht="16.5" customHeight="1">
      <c r="A15" s="31" t="s">
        <v>12</v>
      </c>
      <c r="B15" s="57">
        <f>COUNT(Partidos!M2:M292)</f>
        <v>44</v>
      </c>
      <c r="C15" s="55">
        <f>COUNTIF(Partidos!M2:M291,"&gt;1")</f>
        <v>18</v>
      </c>
      <c r="D15" s="33">
        <f t="shared" si="1"/>
        <v>62</v>
      </c>
      <c r="E15" s="34">
        <f t="shared" si="2"/>
        <v>0.4090909091</v>
      </c>
      <c r="F15" s="35">
        <f t="shared" si="3"/>
        <v>1</v>
      </c>
      <c r="G15" s="36" t="str">
        <f>IFERROR(__xludf.DUMMYFUNCTION("SUBSTITUTE(SUBSTITUTE(TEXTJOIN("""",TRUE,QUERY(Partidos!$A$2:Partidos!$AY$400,""Select M WHERE M IS NOT NULL Order By A DESC limit 5"")),""1"",""🔴""),""2"",""🟢"")"),"🟢🟢🔴🔴🔴")</f>
        <v>🟢🟢🔴🔴🔴</v>
      </c>
      <c r="H15" s="43"/>
      <c r="J15" s="54">
        <f>IFERROR(__xludf.DUMMYFUNCTION("""COMPUTED_VALUE"""),49.0)</f>
        <v>49</v>
      </c>
      <c r="K15" s="55" t="str">
        <f>IFERROR(__xludf.DUMMYFUNCTION("""COMPUTED_VALUE"""),"David Ras")</f>
        <v>David Ras</v>
      </c>
      <c r="N15" s="55">
        <f>IFERROR(__xludf.DUMMYFUNCTION("""COMPUTED_VALUE"""),32.0)</f>
        <v>32</v>
      </c>
      <c r="O15" s="55" t="str">
        <f>IFERROR(__xludf.DUMMYFUNCTION("""COMPUTED_VALUE"""),"David Ras")</f>
        <v>David Ras</v>
      </c>
      <c r="Q15" s="10"/>
      <c r="R15" s="56">
        <f>IFERROR(__xludf.DUMMYFUNCTION("""COMPUTED_VALUE"""),0.4090909090909091)</f>
        <v>0.4090909091</v>
      </c>
      <c r="S15" s="55" t="str">
        <f>IFERROR(__xludf.DUMMYFUNCTION("""COMPUTED_VALUE"""),"Iñaki")</f>
        <v>Iñaki</v>
      </c>
      <c r="U15" s="3" t="s">
        <v>73</v>
      </c>
    </row>
    <row r="16" ht="16.5" customHeight="1">
      <c r="A16" s="31" t="s">
        <v>13</v>
      </c>
      <c r="B16" s="57">
        <f>COUNT(Partidos!N2:N293)</f>
        <v>21</v>
      </c>
      <c r="C16" s="55">
        <f>COUNTIF(Partidos!N2:N292,"&gt;1")</f>
        <v>15</v>
      </c>
      <c r="D16" s="33">
        <f t="shared" si="1"/>
        <v>36</v>
      </c>
      <c r="E16" s="34">
        <f t="shared" si="2"/>
        <v>0.7142857143</v>
      </c>
      <c r="F16" s="35">
        <f t="shared" si="3"/>
        <v>1</v>
      </c>
      <c r="G16" s="36" t="str">
        <f>IFERROR(__xludf.DUMMYFUNCTION("SUBSTITUTE(SUBSTITUTE(TEXTJOIN("""",TRUE,QUERY(Partidos!$A$2:Partidos!$AY$400,""Select N WHERE N IS NOT NULL Order By A DESC limit 5"")),""1"",""🔴""),""2"",""🟢"")"),"🟢🟢🟢🟢🟢")</f>
        <v>🟢🟢🟢🟢🟢</v>
      </c>
      <c r="H16" s="43"/>
      <c r="J16" s="54">
        <f>IFERROR(__xludf.DUMMYFUNCTION("""COMPUTED_VALUE"""),47.0)</f>
        <v>47</v>
      </c>
      <c r="K16" s="55" t="str">
        <f>IFERROR(__xludf.DUMMYFUNCTION("""COMPUTED_VALUE"""),"Enrique")</f>
        <v>Enrique</v>
      </c>
      <c r="N16" s="55">
        <f>IFERROR(__xludf.DUMMYFUNCTION("""COMPUTED_VALUE"""),31.0)</f>
        <v>31</v>
      </c>
      <c r="O16" s="55" t="str">
        <f>IFERROR(__xludf.DUMMYFUNCTION("""COMPUTED_VALUE"""),"David Culé")</f>
        <v>David Culé</v>
      </c>
      <c r="Q16" s="10"/>
      <c r="R16" s="56">
        <f>IFERROR(__xludf.DUMMYFUNCTION("""COMPUTED_VALUE"""),0.40816326530612246)</f>
        <v>0.4081632653</v>
      </c>
      <c r="S16" s="55" t="str">
        <f>IFERROR(__xludf.DUMMYFUNCTION("""COMPUTED_VALUE"""),"Eddy")</f>
        <v>Eddy</v>
      </c>
    </row>
    <row r="17">
      <c r="A17" s="31" t="s">
        <v>74</v>
      </c>
      <c r="B17" s="32">
        <f>COUNT(Partidos!O2:O293)</f>
        <v>43</v>
      </c>
      <c r="C17" s="32">
        <f>COUNTIF(Partidos!O2:O293,"&gt;1")</f>
        <v>30</v>
      </c>
      <c r="D17" s="33">
        <f t="shared" si="1"/>
        <v>73</v>
      </c>
      <c r="E17" s="34">
        <f t="shared" si="2"/>
        <v>0.6976744186</v>
      </c>
      <c r="F17" s="35">
        <f t="shared" si="3"/>
        <v>1</v>
      </c>
      <c r="G17" s="36" t="str">
        <f>IFERROR(__xludf.DUMMYFUNCTION("SUBSTITUTE(SUBSTITUTE(TEXTJOIN("""",TRUE,QUERY(Partidos!$A$2:Partidos!$AY$400,""Select O WHERE O IS NOT NULL Order By A DESC limit 5"")),""1"",""🔴""),""2"",""🟢"")"),"🟢🟢🟢🟢🟢")</f>
        <v>🟢🟢🟢🟢🟢</v>
      </c>
      <c r="H17" s="43"/>
      <c r="J17" s="54">
        <f>IFERROR(__xludf.DUMMYFUNCTION("""COMPUTED_VALUE"""),42.0)</f>
        <v>42</v>
      </c>
      <c r="K17" s="55" t="str">
        <f>IFERROR(__xludf.DUMMYFUNCTION("""COMPUTED_VALUE"""),"David Culé")</f>
        <v>David Culé</v>
      </c>
      <c r="N17" s="55">
        <f>IFERROR(__xludf.DUMMYFUNCTION("""COMPUTED_VALUE"""),30.0)</f>
        <v>30</v>
      </c>
      <c r="O17" s="55" t="str">
        <f>IFERROR(__xludf.DUMMYFUNCTION("""COMPUTED_VALUE"""),"Enrique")</f>
        <v>Enrique</v>
      </c>
      <c r="Q17" s="10"/>
      <c r="R17" s="56">
        <f>IFERROR(__xludf.DUMMYFUNCTION("""COMPUTED_VALUE"""),0.39622641509433965)</f>
        <v>0.3962264151</v>
      </c>
      <c r="S17" s="55" t="str">
        <f>IFERROR(__xludf.DUMMYFUNCTION("""COMPUTED_VALUE"""),"Sixers")</f>
        <v>Sixers</v>
      </c>
    </row>
    <row r="18">
      <c r="A18" s="31" t="s">
        <v>15</v>
      </c>
      <c r="B18" s="32">
        <f>COUNT(Partidos!P2:P293)</f>
        <v>11</v>
      </c>
      <c r="C18" s="32">
        <f>COUNTIF(Partidos!P2:P293,"&gt;1")</f>
        <v>4</v>
      </c>
      <c r="D18" s="33">
        <f t="shared" si="1"/>
        <v>15</v>
      </c>
      <c r="E18" s="34">
        <f t="shared" si="2"/>
        <v>0.3636363636</v>
      </c>
      <c r="F18" s="35">
        <f t="shared" si="3"/>
        <v>0</v>
      </c>
      <c r="G18" s="36" t="str">
        <f>IFERROR(__xludf.DUMMYFUNCTION("SUBSTITUTE(SUBSTITUTE(TEXTJOIN("""",TRUE,QUERY(Partidos!$A$2:Partidos!$AY$400,""Select P WHERE P IS NOT NULL Order By A DESC limit 5"")),""1"",""🔴""),""2"",""🟢"")"),"🟢🟢🔴🟢🔴")</f>
        <v>🟢🟢🔴🟢🔴</v>
      </c>
      <c r="H18" s="43"/>
      <c r="J18" s="54">
        <f>IFERROR(__xludf.DUMMYFUNCTION("""COMPUTED_VALUE"""),36.0)</f>
        <v>36</v>
      </c>
      <c r="K18" s="55" t="str">
        <f>IFERROR(__xludf.DUMMYFUNCTION("""COMPUTED_VALUE"""),"Miguel T.")</f>
        <v>Miguel T.</v>
      </c>
      <c r="N18" s="55">
        <f>IFERROR(__xludf.DUMMYFUNCTION("""COMPUTED_VALUE"""),27.0)</f>
        <v>27</v>
      </c>
      <c r="O18" s="55" t="str">
        <f>IFERROR(__xludf.DUMMYFUNCTION("""COMPUTED_VALUE"""),"Zapas")</f>
        <v>Zapas</v>
      </c>
      <c r="Q18" s="10"/>
      <c r="R18" s="56">
        <f>IFERROR(__xludf.DUMMYFUNCTION("""COMPUTED_VALUE"""),0.3902439024390244)</f>
        <v>0.3902439024</v>
      </c>
      <c r="S18" s="55" t="str">
        <f>IFERROR(__xludf.DUMMYFUNCTION("""COMPUTED_VALUE"""),"Telmo")</f>
        <v>Telmo</v>
      </c>
    </row>
    <row r="19">
      <c r="A19" s="31" t="s">
        <v>16</v>
      </c>
      <c r="B19" s="55">
        <f>COUNT(Partidos!Q2:Q293)</f>
        <v>4</v>
      </c>
      <c r="C19" s="32">
        <f>COUNTIF(Partidos!Q2:Q293,"&gt;1")</f>
        <v>4</v>
      </c>
      <c r="D19" s="33">
        <f t="shared" si="1"/>
        <v>8</v>
      </c>
      <c r="E19" s="34">
        <f t="shared" si="2"/>
        <v>1</v>
      </c>
      <c r="F19" s="35">
        <f t="shared" si="3"/>
        <v>0</v>
      </c>
      <c r="G19" s="36" t="str">
        <f>IFERROR(__xludf.DUMMYFUNCTION("SUBSTITUTE(SUBSTITUTE(TEXTJOIN("""",TRUE,QUERY(Partidos!$A$2:Partidos!$AY$400,""Select Q WHERE Q IS NOT NULL Order By A DESC limit 5"")),""1"",""🔴""),""2"",""🟢"")"),"🟢🟢🟢🟢")</f>
        <v>🟢🟢🟢🟢</v>
      </c>
      <c r="H19" s="43"/>
      <c r="J19" s="54">
        <f>IFERROR(__xludf.DUMMYFUNCTION("""COMPUTED_VALUE"""),34.0)</f>
        <v>34</v>
      </c>
      <c r="K19" s="55" t="str">
        <f>IFERROR(__xludf.DUMMYFUNCTION("""COMPUTED_VALUE"""),"Zapas")</f>
        <v>Zapas</v>
      </c>
      <c r="N19" s="55">
        <f>IFERROR(__xludf.DUMMYFUNCTION("""COMPUTED_VALUE"""),21.0)</f>
        <v>21</v>
      </c>
      <c r="O19" s="55" t="str">
        <f>IFERROR(__xludf.DUMMYFUNCTION("""COMPUTED_VALUE"""),"Miguel T.")</f>
        <v>Miguel T.</v>
      </c>
      <c r="Q19" s="10"/>
      <c r="R19" s="56">
        <f>IFERROR(__xludf.DUMMYFUNCTION("""COMPUTED_VALUE"""),0.3684210526315789)</f>
        <v>0.3684210526</v>
      </c>
      <c r="S19" s="55" t="str">
        <f>IFERROR(__xludf.DUMMYFUNCTION("""COMPUTED_VALUE"""),"Iker")</f>
        <v>Iker</v>
      </c>
    </row>
    <row r="20">
      <c r="A20" s="31" t="s">
        <v>17</v>
      </c>
      <c r="B20" s="32">
        <f>COUNT(Partidos!R2:R293)</f>
        <v>53</v>
      </c>
      <c r="C20" s="32">
        <f>COUNTIF(Partidos!R2:R294,"&gt;1")</f>
        <v>21</v>
      </c>
      <c r="D20" s="33">
        <f t="shared" si="1"/>
        <v>74</v>
      </c>
      <c r="E20" s="34">
        <f t="shared" si="2"/>
        <v>0.3962264151</v>
      </c>
      <c r="F20" s="35">
        <f t="shared" si="3"/>
        <v>1</v>
      </c>
      <c r="G20" s="36" t="str">
        <f>IFERROR(__xludf.DUMMYFUNCTION("SUBSTITUTE(SUBSTITUTE(TEXTJOIN("""",TRUE,QUERY(Partidos!$A$2:Partidos!$AY$400,""Select R WHERE R IS NOT NULL Order By A DESC limit 5"")),""1"",""🔴""),""2"",""🟢"")"),"🟢🟢🟢🟢🔴")</f>
        <v>🟢🟢🟢🟢🔴</v>
      </c>
      <c r="H20" s="43"/>
      <c r="J20" s="54">
        <f>IFERROR(__xludf.DUMMYFUNCTION("""COMPUTED_VALUE"""),32.0)</f>
        <v>32</v>
      </c>
      <c r="K20" s="55" t="str">
        <f>IFERROR(__xludf.DUMMYFUNCTION("""COMPUTED_VALUE"""),"Jon A.")</f>
        <v>Jon A.</v>
      </c>
      <c r="N20" s="55">
        <f>IFERROR(__xludf.DUMMYFUNCTION("""COMPUTED_VALUE"""),20.0)</f>
        <v>20</v>
      </c>
      <c r="O20" s="55" t="str">
        <f>IFERROR(__xludf.DUMMYFUNCTION("""COMPUTED_VALUE"""),"Jon A.")</f>
        <v>Jon A.</v>
      </c>
      <c r="Q20" s="10"/>
      <c r="R20" s="56">
        <f>IFERROR(__xludf.DUMMYFUNCTION("""COMPUTED_VALUE"""),0.3548387096774194)</f>
        <v>0.3548387097</v>
      </c>
      <c r="S20" s="55" t="str">
        <f>IFERROR(__xludf.DUMMYFUNCTION("""COMPUTED_VALUE"""),"David Culé")</f>
        <v>David Culé</v>
      </c>
    </row>
    <row r="21">
      <c r="A21" s="31" t="s">
        <v>18</v>
      </c>
      <c r="B21" s="32">
        <f>COUNT(Partidos!S2:S293)</f>
        <v>41</v>
      </c>
      <c r="C21" s="32">
        <f>COUNTIF(Partidos!S2:S292,"&gt;1")</f>
        <v>16</v>
      </c>
      <c r="D21" s="33">
        <f t="shared" si="1"/>
        <v>57</v>
      </c>
      <c r="E21" s="34">
        <f t="shared" si="2"/>
        <v>0.3902439024</v>
      </c>
      <c r="F21" s="35">
        <f t="shared" si="3"/>
        <v>1</v>
      </c>
      <c r="G21" s="36" t="str">
        <f>IFERROR(__xludf.DUMMYFUNCTION("SUBSTITUTE(SUBSTITUTE(TEXTJOIN("""",TRUE,QUERY(Partidos!$A$2:Partidos!$AY$400,""Select S WHERE S IS NOT NULL Order By A DESC limit 5"")),""1"",""🔴""),""2"",""🟢"")"),"🔴🔴🔴🔴🔴")</f>
        <v>🔴🔴🔴🔴🔴</v>
      </c>
      <c r="H21" s="43"/>
      <c r="J21" s="54">
        <f>IFERROR(__xludf.DUMMYFUNCTION("""COMPUTED_VALUE"""),26.0)</f>
        <v>26</v>
      </c>
      <c r="K21" s="55" t="str">
        <f>IFERROR(__xludf.DUMMYFUNCTION("""COMPUTED_VALUE"""),"Iker")</f>
        <v>Iker</v>
      </c>
      <c r="N21" s="55">
        <f>IFERROR(__xludf.DUMMYFUNCTION("""COMPUTED_VALUE"""),19.0)</f>
        <v>19</v>
      </c>
      <c r="O21" s="55" t="str">
        <f>IFERROR(__xludf.DUMMYFUNCTION("""COMPUTED_VALUE"""),"Iker")</f>
        <v>Iker</v>
      </c>
      <c r="Q21" s="10"/>
      <c r="R21" s="56">
        <f>IFERROR(__xludf.DUMMYFUNCTION("""COMPUTED_VALUE"""),0.25925925925925924)</f>
        <v>0.2592592593</v>
      </c>
      <c r="S21" s="55" t="str">
        <f>IFERROR(__xludf.DUMMYFUNCTION("""COMPUTED_VALUE"""),"Zapas")</f>
        <v>Zapas</v>
      </c>
    </row>
    <row r="22">
      <c r="A22" s="31" t="s">
        <v>19</v>
      </c>
      <c r="B22" s="32">
        <f>COUNT(Partidos!T2:T292)</f>
        <v>60</v>
      </c>
      <c r="C22" s="32">
        <f>COUNTIF(Partidos!T2:T292,"&gt;1")</f>
        <v>35</v>
      </c>
      <c r="D22" s="33">
        <f t="shared" si="1"/>
        <v>95</v>
      </c>
      <c r="E22" s="34">
        <f t="shared" si="2"/>
        <v>0.5833333333</v>
      </c>
      <c r="F22" s="35">
        <f t="shared" si="3"/>
        <v>1</v>
      </c>
      <c r="G22" s="36" t="str">
        <f>IFERROR(__xludf.DUMMYFUNCTION("SUBSTITUTE(SUBSTITUTE(TEXTJOIN("""",TRUE,QUERY(Partidos!$A$2:Partidos!$AY$400,""Select T WHERE T IS NOT NULL Order By A DESC limit 5"")),""1"",""🔴""),""2"",""🟢"")"),"🟢🟢🔴🔴🔴")</f>
        <v>🟢🟢🔴🔴🔴</v>
      </c>
      <c r="H22" s="43"/>
      <c r="J22" s="54">
        <f>IFERROR(__xludf.DUMMYFUNCTION("""COMPUTED_VALUE"""),23.0)</f>
        <v>23</v>
      </c>
      <c r="K22" s="55" t="str">
        <f>IFERROR(__xludf.DUMMYFUNCTION("""COMPUTED_VALUE"""),"Chocarro")</f>
        <v>Chocarro</v>
      </c>
      <c r="N22" s="55">
        <f>IFERROR(__xludf.DUMMYFUNCTION("""COMPUTED_VALUE"""),13.0)</f>
        <v>13</v>
      </c>
      <c r="O22" s="55" t="str">
        <f>IFERROR(__xludf.DUMMYFUNCTION("""COMPUTED_VALUE"""),"Chocarro")</f>
        <v>Chocarro</v>
      </c>
      <c r="Q22" s="10"/>
    </row>
    <row r="23">
      <c r="A23" s="31" t="s">
        <v>20</v>
      </c>
      <c r="B23" s="32">
        <f>COUNT(Partidos!U2:U293)</f>
        <v>42</v>
      </c>
      <c r="C23" s="32">
        <f>COUNTIF(Partidos!U2:U293,"&gt;1")</f>
        <v>30</v>
      </c>
      <c r="D23" s="33">
        <f t="shared" si="1"/>
        <v>72</v>
      </c>
      <c r="E23" s="34">
        <f t="shared" si="2"/>
        <v>0.7142857143</v>
      </c>
      <c r="F23" s="35">
        <f t="shared" si="3"/>
        <v>1</v>
      </c>
      <c r="G23" s="36" t="str">
        <f>IFERROR(__xludf.DUMMYFUNCTION("SUBSTITUTE(SUBSTITUTE(TEXTJOIN("""",TRUE,QUERY(Partidos!$A$2:Partidos!$AY$400,""Select U WHERE U IS NOT NULL Order By A DESC limit 5"")),""1"",""🔴""),""2"",""🟢"")"),"🟢🟢🔴🔴🟢")</f>
        <v>🟢🟢🔴🔴🟢</v>
      </c>
      <c r="H23" s="43"/>
      <c r="J23" s="54">
        <f>IFERROR(__xludf.DUMMYFUNCTION("""COMPUTED_VALUE"""),17.0)</f>
        <v>17</v>
      </c>
      <c r="K23" s="55" t="str">
        <f>IFERROR(__xludf.DUMMYFUNCTION("""COMPUTED_VALUE"""),"Lander")</f>
        <v>Lander</v>
      </c>
      <c r="N23" s="55">
        <f>IFERROR(__xludf.DUMMYFUNCTION("""COMPUTED_VALUE"""),11.0)</f>
        <v>11</v>
      </c>
      <c r="O23" s="55" t="str">
        <f>IFERROR(__xludf.DUMMYFUNCTION("""COMPUTED_VALUE"""),"Raúl")</f>
        <v>Raúl</v>
      </c>
      <c r="Q23" s="10"/>
    </row>
    <row r="24">
      <c r="A24" s="31" t="s">
        <v>21</v>
      </c>
      <c r="B24" s="32">
        <f>COUNT(Partidos!V2:V293)</f>
        <v>0</v>
      </c>
      <c r="C24" s="32">
        <f>COUNTIF(Partidos!V2:V293,"&gt;1")</f>
        <v>0</v>
      </c>
      <c r="D24" s="33">
        <f t="shared" si="1"/>
        <v>0</v>
      </c>
      <c r="E24" s="34">
        <f t="shared" si="2"/>
        <v>0</v>
      </c>
      <c r="F24" s="35">
        <f t="shared" si="3"/>
        <v>0</v>
      </c>
      <c r="G24" s="36" t="str">
        <f>IFERROR(__xludf.DUMMYFUNCTION("SUBSTITUTE(SUBSTITUTE(TEXTJOIN("""",TRUE,QUERY(Partidos!$A$2:Partidos!$AY$400,""Select V WHERE V IS NOT NULL Order By A DESC limit 5"")),""1"",""🔴""),""2"",""🟢"")"),"#N/A")</f>
        <v>#N/A</v>
      </c>
      <c r="H24" s="43"/>
      <c r="J24" s="54">
        <f>IFERROR(__xludf.DUMMYFUNCTION("""COMPUTED_VALUE"""),15.0)</f>
        <v>15</v>
      </c>
      <c r="K24" s="55" t="str">
        <f>IFERROR(__xludf.DUMMYFUNCTION("""COMPUTED_VALUE"""),"Raúl")</f>
        <v>Raúl</v>
      </c>
      <c r="N24" s="55">
        <f>IFERROR(__xludf.DUMMYFUNCTION("""COMPUTED_VALUE"""),11.0)</f>
        <v>11</v>
      </c>
      <c r="O24" s="55" t="str">
        <f>IFERROR(__xludf.DUMMYFUNCTION("""COMPUTED_VALUE"""),"Lander")</f>
        <v>Lander</v>
      </c>
      <c r="Q24" s="10"/>
    </row>
    <row r="25">
      <c r="A25" s="31" t="s">
        <v>22</v>
      </c>
      <c r="B25" s="32">
        <f>COUNT(Partidos!W2:W2294)</f>
        <v>27</v>
      </c>
      <c r="C25" s="32">
        <f>COUNTIF(Partidos!W2:W294,"&gt;1")</f>
        <v>7</v>
      </c>
      <c r="D25" s="33">
        <f t="shared" si="1"/>
        <v>34</v>
      </c>
      <c r="E25" s="34">
        <f t="shared" si="2"/>
        <v>0.2592592593</v>
      </c>
      <c r="F25" s="35">
        <f t="shared" si="3"/>
        <v>1</v>
      </c>
      <c r="G25" s="36" t="str">
        <f>IFERROR(__xludf.DUMMYFUNCTION("SUBSTITUTE(SUBSTITUTE(TEXTJOIN("""",TRUE,QUERY(Partidos!$A$2:Partidos!$AY$400,""Select W WHERE W IS NOT NULL Order By A DESC limit 5"")),""1"",""🔴""),""2"",""🟢"")"),"🔴🔴🔴🔴🔴")</f>
        <v>🔴🔴🔴🔴🔴</v>
      </c>
      <c r="H25" s="43"/>
      <c r="J25" s="54">
        <f>IFERROR(__xludf.DUMMYFUNCTION("""COMPUTED_VALUE"""),14.0)</f>
        <v>14</v>
      </c>
      <c r="K25" s="55" t="str">
        <f>IFERROR(__xludf.DUMMYFUNCTION("""COMPUTED_VALUE"""),"David Arg.")</f>
        <v>David Arg.</v>
      </c>
      <c r="N25" s="55">
        <f>IFERROR(__xludf.DUMMYFUNCTION("""COMPUTED_VALUE"""),8.0)</f>
        <v>8</v>
      </c>
      <c r="O25" s="55" t="str">
        <f>IFERROR(__xludf.DUMMYFUNCTION("""COMPUTED_VALUE"""),"David Arg.")</f>
        <v>David Arg.</v>
      </c>
      <c r="Q25" s="10"/>
    </row>
    <row r="26">
      <c r="A26" s="31" t="s">
        <v>23</v>
      </c>
      <c r="B26" s="32">
        <f>COUNT(Partidos!Y2:Y292)</f>
        <v>5</v>
      </c>
      <c r="C26" s="32">
        <f>COUNTIF(Partidos!Y2:Y292,"&gt;1")</f>
        <v>4</v>
      </c>
      <c r="D26" s="33">
        <f t="shared" si="1"/>
        <v>9</v>
      </c>
      <c r="E26" s="34">
        <f t="shared" si="2"/>
        <v>0.8</v>
      </c>
      <c r="F26" s="35">
        <f t="shared" si="3"/>
        <v>0</v>
      </c>
      <c r="G26" s="36" t="str">
        <f>IFERROR(__xludf.DUMMYFUNCTION("SUBSTITUTE(SUBSTITUTE(TEXTJOIN("""",TRUE,QUERY(Partidos!$A$2:Partidos!$AY$400,""Select Y WHERE Y IS NOT NULL Order By A DESC limit 5"")),""1"",""🔴""),""2"",""🟢"")"),"🟢🟢🟢🔴🟢")</f>
        <v>🟢🟢🟢🔴🟢</v>
      </c>
      <c r="H26" s="43"/>
      <c r="J26" s="54">
        <f>IFERROR(__xludf.DUMMYFUNCTION("""COMPUTED_VALUE"""),9.0)</f>
        <v>9</v>
      </c>
      <c r="K26" s="55" t="str">
        <f>IFERROR(__xludf.DUMMYFUNCTION("""COMPUTED_VALUE"""),"Borja")</f>
        <v>Borja</v>
      </c>
      <c r="N26" s="55">
        <f>IFERROR(__xludf.DUMMYFUNCTION("""COMPUTED_VALUE"""),7.0)</f>
        <v>7</v>
      </c>
      <c r="O26" s="55" t="str">
        <f>IFERROR(__xludf.DUMMYFUNCTION("""COMPUTED_VALUE"""),"Jesús")</f>
        <v>Jesús</v>
      </c>
      <c r="Q26" s="10"/>
    </row>
    <row r="27">
      <c r="A27" s="31" t="s">
        <v>24</v>
      </c>
      <c r="B27" s="32">
        <f>COUNT(Partidos!Z2:Z293)</f>
        <v>0</v>
      </c>
      <c r="C27" s="32">
        <f>COUNTIF(Partidos!Z2:Z293,"&gt;1")</f>
        <v>0</v>
      </c>
      <c r="D27" s="33">
        <f t="shared" si="1"/>
        <v>0</v>
      </c>
      <c r="E27" s="34">
        <f t="shared" si="2"/>
        <v>0</v>
      </c>
      <c r="F27" s="35">
        <f t="shared" si="3"/>
        <v>0</v>
      </c>
      <c r="G27" s="36" t="str">
        <f>IFERROR(__xludf.DUMMYFUNCTION("SUBSTITUTE(SUBSTITUTE(TEXTJOIN("""",TRUE,QUERY(Partidos!$A$2:Partidos!$AY$400,""Select Z WHERE Z IS NOT NULL Order By A DESC limit 5"")),""1"",""🔴""),""2"",""🟢"")"),"#N/A")</f>
        <v>#N/A</v>
      </c>
      <c r="H27" s="43"/>
      <c r="J27" s="54">
        <f>IFERROR(__xludf.DUMMYFUNCTION("""COMPUTED_VALUE"""),9.0)</f>
        <v>9</v>
      </c>
      <c r="K27" s="55" t="str">
        <f>IFERROR(__xludf.DUMMYFUNCTION("""COMPUTED_VALUE"""),"Laura")</f>
        <v>Laura</v>
      </c>
      <c r="N27" s="55">
        <f>IFERROR(__xludf.DUMMYFUNCTION("""COMPUTED_VALUE"""),6.0)</f>
        <v>6</v>
      </c>
      <c r="O27" s="55" t="str">
        <f>IFERROR(__xludf.DUMMYFUNCTION("""COMPUTED_VALUE"""),"Laura")</f>
        <v>Laura</v>
      </c>
      <c r="Q27" s="10"/>
    </row>
    <row r="28">
      <c r="A28" s="31" t="s">
        <v>25</v>
      </c>
      <c r="B28" s="32">
        <f>COUNT(Partidos!AA2:AA294)</f>
        <v>7</v>
      </c>
      <c r="C28" s="32">
        <f>COUNTIF(Partidos!AA2:AA294,"&gt;1")</f>
        <v>2</v>
      </c>
      <c r="D28" s="33">
        <f t="shared" si="1"/>
        <v>9</v>
      </c>
      <c r="E28" s="34">
        <f t="shared" si="2"/>
        <v>0.2857142857</v>
      </c>
      <c r="F28" s="35">
        <f t="shared" si="3"/>
        <v>0</v>
      </c>
      <c r="G28" s="36" t="str">
        <f>IFERROR(__xludf.DUMMYFUNCTION("SUBSTITUTE(SUBSTITUTE(TEXTJOIN("""",TRUE,QUERY(Partidos!$A$2:Partidos!$AY$400,""Select AA WHERE AA IS NOT NULL Order By A DESC limit 5"")),""1"",""🔴""),""2"",""🟢"")"),"🔴🔴🔴🟢🔴")</f>
        <v>🔴🔴🔴🟢🔴</v>
      </c>
      <c r="H28" s="43"/>
      <c r="J28" s="54">
        <f>IFERROR(__xludf.DUMMYFUNCTION("""COMPUTED_VALUE"""),9.0)</f>
        <v>9</v>
      </c>
      <c r="K28" s="55" t="str">
        <f>IFERROR(__xludf.DUMMYFUNCTION("""COMPUTED_VALUE"""),"Jesús")</f>
        <v>Jesús</v>
      </c>
      <c r="N28" s="55">
        <f>IFERROR(__xludf.DUMMYFUNCTION("""COMPUTED_VALUE"""),5.0)</f>
        <v>5</v>
      </c>
      <c r="O28" s="55" t="str">
        <f>IFERROR(__xludf.DUMMYFUNCTION("""COMPUTED_VALUE"""),"Borja")</f>
        <v>Borja</v>
      </c>
      <c r="Q28" s="10"/>
    </row>
    <row r="29">
      <c r="A29" s="31" t="s">
        <v>26</v>
      </c>
      <c r="B29" s="32">
        <f>COUNT(Partidos!AB2:AB292)</f>
        <v>20</v>
      </c>
      <c r="C29" s="32">
        <f>COUNTIF(Partidos!AB2:AB292,"&gt;1")</f>
        <v>12</v>
      </c>
      <c r="D29" s="33">
        <f t="shared" si="1"/>
        <v>32</v>
      </c>
      <c r="E29" s="34">
        <f t="shared" si="2"/>
        <v>0.6</v>
      </c>
      <c r="F29" s="35">
        <f t="shared" si="3"/>
        <v>1</v>
      </c>
      <c r="G29" s="36" t="str">
        <f>IFERROR(__xludf.DUMMYFUNCTION("SUBSTITUTE(SUBSTITUTE(TEXTJOIN("""",TRUE,QUERY(Partidos!$A$2:Partidos!$AY$400,""Select AB WHERE AB IS NOT NULL Order By A DESC limit 5"")),""1"",""🔴""),""2"",""🟢"")"),"🔴🔴🟢🟢🔴")</f>
        <v>🔴🔴🟢🟢🔴</v>
      </c>
      <c r="H29" s="43"/>
      <c r="J29" s="54">
        <f>IFERROR(__xludf.DUMMYFUNCTION("""COMPUTED_VALUE"""),8.0)</f>
        <v>8</v>
      </c>
      <c r="K29" s="55" t="str">
        <f>IFERROR(__xludf.DUMMYFUNCTION("""COMPUTED_VALUE"""),"Ritxo")</f>
        <v>Ritxo</v>
      </c>
      <c r="N29" s="55">
        <f>IFERROR(__xludf.DUMMYFUNCTION("""COMPUTED_VALUE"""),4.0)</f>
        <v>4</v>
      </c>
      <c r="O29" s="55" t="str">
        <f>IFERROR(__xludf.DUMMYFUNCTION("""COMPUTED_VALUE"""),"Ander")</f>
        <v>Ander</v>
      </c>
      <c r="Q29" s="10"/>
    </row>
    <row r="30">
      <c r="A30" s="31" t="s">
        <v>27</v>
      </c>
      <c r="B30" s="32">
        <f>COUNT(Partidos!AC2:AC292)</f>
        <v>0</v>
      </c>
      <c r="C30" s="32">
        <f>COUNTIF(Partidos!AC2:AC292,"&gt;1")</f>
        <v>0</v>
      </c>
      <c r="D30" s="33">
        <f t="shared" si="1"/>
        <v>0</v>
      </c>
      <c r="E30" s="34">
        <f t="shared" si="2"/>
        <v>0</v>
      </c>
      <c r="F30" s="35">
        <f t="shared" si="3"/>
        <v>0</v>
      </c>
      <c r="G30" s="36" t="str">
        <f>IFERROR(__xludf.DUMMYFUNCTION("SUBSTITUTE(SUBSTITUTE(TEXTJOIN("""",TRUE,QUERY(Partidos!$A$2:Partidos!$AY$400,""Select AC WHERE AC IS NOT NULL Order By A DESC limit 5"")),""1"",""🔴""),""2"",""🟢"")"),"#N/A")</f>
        <v>#N/A</v>
      </c>
      <c r="H30" s="43"/>
      <c r="J30" s="54">
        <f>IFERROR(__xludf.DUMMYFUNCTION("""COMPUTED_VALUE"""),7.0)</f>
        <v>7</v>
      </c>
      <c r="K30" s="55" t="str">
        <f>IFERROR(__xludf.DUMMYFUNCTION("""COMPUTED_VALUE"""),"Moha BK")</f>
        <v>Moha BK</v>
      </c>
      <c r="N30" s="55">
        <f>IFERROR(__xludf.DUMMYFUNCTION("""COMPUTED_VALUE"""),4.0)</f>
        <v>4</v>
      </c>
      <c r="O30" s="55" t="str">
        <f>IFERROR(__xludf.DUMMYFUNCTION("""COMPUTED_VALUE"""),"Ritxo")</f>
        <v>Ritxo</v>
      </c>
      <c r="Q30" s="10"/>
    </row>
    <row r="31">
      <c r="A31" s="31" t="s">
        <v>28</v>
      </c>
      <c r="B31" s="32">
        <f>COUNT(Partidos!AD2:AD293)</f>
        <v>19</v>
      </c>
      <c r="C31" s="32">
        <f>COUNTIF(Partidos!AD3:AD293,"&gt;1")</f>
        <v>7</v>
      </c>
      <c r="D31" s="33">
        <f t="shared" si="1"/>
        <v>26</v>
      </c>
      <c r="E31" s="34">
        <f t="shared" si="2"/>
        <v>0.3684210526</v>
      </c>
      <c r="F31" s="35">
        <f t="shared" si="3"/>
        <v>1</v>
      </c>
      <c r="G31" s="36" t="str">
        <f>IFERROR(__xludf.DUMMYFUNCTION("SUBSTITUTE(SUBSTITUTE(TEXTJOIN("""",TRUE,QUERY(Partidos!$A$2:Partidos!$AY$400,""Select AD WHERE AD IS NOT NULL Order By A DESC limit 5"")),""1"",""🔴""),""2"",""🟢"")"),"🔴🔴🔴🔴🟢")</f>
        <v>🔴🔴🔴🔴🟢</v>
      </c>
      <c r="H31" s="43"/>
      <c r="J31" s="54">
        <f>IFERROR(__xludf.DUMMYFUNCTION("""COMPUTED_VALUE"""),7.0)</f>
        <v>7</v>
      </c>
      <c r="K31" s="55" t="str">
        <f>IFERROR(__xludf.DUMMYFUNCTION("""COMPUTED_VALUE"""),"Íñigo")</f>
        <v>Íñigo</v>
      </c>
      <c r="N31" s="55">
        <f>IFERROR(__xludf.DUMMYFUNCTION("""COMPUTED_VALUE"""),4.0)</f>
        <v>4</v>
      </c>
      <c r="O31" s="55" t="str">
        <f>IFERROR(__xludf.DUMMYFUNCTION("""COMPUTED_VALUE"""),"Javi BK")</f>
        <v>Javi BK</v>
      </c>
      <c r="Q31" s="10"/>
    </row>
    <row r="32">
      <c r="A32" s="31" t="s">
        <v>29</v>
      </c>
      <c r="B32" s="32">
        <f>COUNT(Partidos!AE2:AE293)</f>
        <v>2</v>
      </c>
      <c r="C32" s="32">
        <f>COUNTIF(Partidos!AE2:AE293,"&gt;1")</f>
        <v>1</v>
      </c>
      <c r="D32" s="33">
        <f t="shared" si="1"/>
        <v>3</v>
      </c>
      <c r="E32" s="34">
        <f t="shared" si="2"/>
        <v>0.5</v>
      </c>
      <c r="F32" s="35">
        <f t="shared" si="3"/>
        <v>0</v>
      </c>
      <c r="G32" s="36" t="str">
        <f>IFERROR(__xludf.DUMMYFUNCTION("SUBSTITUTE(SUBSTITUTE(TEXTJOIN("""",TRUE,QUERY(Partidos!$A$2:Partidos!$AY$400,""Select AE WHERE AE IS NOT NULL Order By A DESC limit 5"")),""1"",""🔴""),""2"",""🟢"")"),"🔴🟢")</f>
        <v>🔴🟢</v>
      </c>
      <c r="H32" s="58"/>
      <c r="J32" s="54">
        <f>IFERROR(__xludf.DUMMYFUNCTION("""COMPUTED_VALUE"""),6.0)</f>
        <v>6</v>
      </c>
      <c r="K32" s="55" t="str">
        <f>IFERROR(__xludf.DUMMYFUNCTION("""COMPUTED_VALUE"""),"Ander")</f>
        <v>Ander</v>
      </c>
      <c r="N32" s="55">
        <f>IFERROR(__xludf.DUMMYFUNCTION("""COMPUTED_VALUE"""),4.0)</f>
        <v>4</v>
      </c>
      <c r="O32" s="55" t="str">
        <f>IFERROR(__xludf.DUMMYFUNCTION("""COMPUTED_VALUE"""),"Moha BK")</f>
        <v>Moha BK</v>
      </c>
      <c r="Q32" s="10"/>
    </row>
    <row r="33">
      <c r="A33" s="31" t="s">
        <v>75</v>
      </c>
      <c r="B33" s="32">
        <f>COUNT(Partidos!AF2:AF294)</f>
        <v>2</v>
      </c>
      <c r="C33" s="32">
        <f>COUNTIF(Partidos!AF2:AF294,"&gt;1")</f>
        <v>1</v>
      </c>
      <c r="D33" s="33">
        <f t="shared" si="1"/>
        <v>3</v>
      </c>
      <c r="E33" s="34">
        <f t="shared" si="2"/>
        <v>0.5</v>
      </c>
      <c r="F33" s="35">
        <f t="shared" si="3"/>
        <v>0</v>
      </c>
      <c r="G33" s="36" t="str">
        <f>IFERROR(__xludf.DUMMYFUNCTION("SUBSTITUTE(SUBSTITUTE(TEXTJOIN("""",TRUE,QUERY(Partidos!$A$2:Partidos!$AY$400,""Select AF WHERE AF IS NOT NULL Order By A DESC limit 5"")),""1"",""🔴""),""2"",""🟢"")"),"🟢🔴")</f>
        <v>🟢🔴</v>
      </c>
      <c r="H33" s="25"/>
      <c r="I33" s="25"/>
      <c r="J33" s="54">
        <f>IFERROR(__xludf.DUMMYFUNCTION("""COMPUTED_VALUE"""),6.0)</f>
        <v>6</v>
      </c>
      <c r="K33" s="55" t="str">
        <f>IFERROR(__xludf.DUMMYFUNCTION("""COMPUTED_VALUE"""),"Javi BK")</f>
        <v>Javi BK</v>
      </c>
      <c r="N33" s="55">
        <f>IFERROR(__xludf.DUMMYFUNCTION("""COMPUTED_VALUE"""),4.0)</f>
        <v>4</v>
      </c>
      <c r="O33" s="55" t="str">
        <f>IFERROR(__xludf.DUMMYFUNCTION("""COMPUTED_VALUE"""),"Jonathan BK")</f>
        <v>Jonathan BK</v>
      </c>
      <c r="Q33" s="10"/>
    </row>
    <row r="34">
      <c r="A34" s="31" t="s">
        <v>31</v>
      </c>
      <c r="B34" s="32">
        <f>COUNT(Partidos!AG2:AG294)</f>
        <v>11</v>
      </c>
      <c r="C34" s="32">
        <f>COUNTIF(Partidos!AG2:AG294,"&gt;1")</f>
        <v>6</v>
      </c>
      <c r="D34" s="33">
        <f t="shared" si="1"/>
        <v>17</v>
      </c>
      <c r="E34" s="34">
        <f t="shared" si="2"/>
        <v>0.5454545455</v>
      </c>
      <c r="F34" s="35">
        <f t="shared" si="3"/>
        <v>0</v>
      </c>
      <c r="G34" s="36" t="str">
        <f>IFERROR(__xludf.DUMMYFUNCTION("SUBSTITUTE(SUBSTITUTE(TEXTJOIN("""",TRUE,QUERY(Partidos!$A$2:Partidos!$AY$400,""Select AG WHERE AG IS NOT NULL Order By A DESC limit 5"")),""1"",""🔴""),""2"",""🟢"")"),"🟢🟢🔴🟢🟢")</f>
        <v>🟢🟢🔴🟢🟢</v>
      </c>
      <c r="H34" s="25"/>
      <c r="I34" s="25"/>
      <c r="J34" s="54">
        <f>IFERROR(__xludf.DUMMYFUNCTION("""COMPUTED_VALUE"""),5.0)</f>
        <v>5</v>
      </c>
      <c r="K34" s="55" t="str">
        <f>IFERROR(__xludf.DUMMYFUNCTION("""COMPUTED_VALUE"""),"Minde")</f>
        <v>Minde</v>
      </c>
      <c r="N34" s="55">
        <f>IFERROR(__xludf.DUMMYFUNCTION("""COMPUTED_VALUE"""),4.0)</f>
        <v>4</v>
      </c>
      <c r="O34" s="55" t="str">
        <f>IFERROR(__xludf.DUMMYFUNCTION("""COMPUTED_VALUE"""),"Íñigo")</f>
        <v>Íñigo</v>
      </c>
      <c r="Q34" s="10"/>
    </row>
    <row r="35">
      <c r="A35" s="31" t="s">
        <v>32</v>
      </c>
      <c r="B35" s="32">
        <f>COUNT(Partidos!AH2:AH294)</f>
        <v>4</v>
      </c>
      <c r="C35" s="32">
        <f>COUNTIF(Partidos!AH2:AH294,"&gt;1")</f>
        <v>2</v>
      </c>
      <c r="D35" s="33">
        <f t="shared" si="1"/>
        <v>6</v>
      </c>
      <c r="E35" s="34">
        <f t="shared" si="2"/>
        <v>0.5</v>
      </c>
      <c r="F35" s="35">
        <f t="shared" si="3"/>
        <v>0</v>
      </c>
      <c r="G35" s="36" t="str">
        <f>IFERROR(__xludf.DUMMYFUNCTION("SUBSTITUTE(SUBSTITUTE(TEXTJOIN("""",TRUE,QUERY(Partidos!$A$2:Partidos!$AY$400,""Select AH WHERE AH IS NOT NULL Order By A DESC limit 5"")),""1"",""🔴""),""2"",""🟢"")"),"🔴🟢🔴🟢")</f>
        <v>🔴🟢🔴🟢</v>
      </c>
      <c r="H35" s="25"/>
      <c r="I35" s="25"/>
      <c r="J35" s="54">
        <f>IFERROR(__xludf.DUMMYFUNCTION("""COMPUTED_VALUE"""),5.0)</f>
        <v>5</v>
      </c>
      <c r="K35" s="55" t="str">
        <f>IFERROR(__xludf.DUMMYFUNCTION("""COMPUTED_VALUE"""),"Jonathan BK")</f>
        <v>Jonathan BK</v>
      </c>
      <c r="N35" s="55">
        <f>IFERROR(__xludf.DUMMYFUNCTION("""COMPUTED_VALUE"""),3.0)</f>
        <v>3</v>
      </c>
      <c r="O35" s="55" t="str">
        <f>IFERROR(__xludf.DUMMYFUNCTION("""COMPUTED_VALUE"""),"Minde")</f>
        <v>Minde</v>
      </c>
      <c r="Q35" s="10"/>
    </row>
    <row r="36">
      <c r="A36" s="31" t="s">
        <v>33</v>
      </c>
      <c r="B36" s="32">
        <f>COUNT(Partidos!AI2:AI294)</f>
        <v>4</v>
      </c>
      <c r="C36" s="32">
        <f>COUNTIF(Partidos!AI2:AI294,"&gt;1")</f>
        <v>3</v>
      </c>
      <c r="D36" s="33">
        <f t="shared" si="1"/>
        <v>7</v>
      </c>
      <c r="E36" s="34">
        <f t="shared" si="2"/>
        <v>0.75</v>
      </c>
      <c r="F36" s="35">
        <f t="shared" si="3"/>
        <v>0</v>
      </c>
      <c r="G36" s="36" t="str">
        <f>IFERROR(__xludf.DUMMYFUNCTION("SUBSTITUTE(SUBSTITUTE(TEXTJOIN("""",TRUE,QUERY(Partidos!$A$2:Partidos!$AY$400,""Select AI WHERE AI IS NOT NULL Order By A DESC limit 5"")),""1"",""🔴""),""2"",""🟢"")"),"🟢🟢🔴🟢")</f>
        <v>🟢🟢🔴🟢</v>
      </c>
      <c r="H36" s="25"/>
      <c r="I36" s="25"/>
      <c r="J36" s="54">
        <f>IFERROR(__xludf.DUMMYFUNCTION("""COMPUTED_VALUE"""),4.0)</f>
        <v>4</v>
      </c>
      <c r="K36" s="55" t="str">
        <f>IFERROR(__xludf.DUMMYFUNCTION("""COMPUTED_VALUE"""),"Korta")</f>
        <v>Korta</v>
      </c>
      <c r="N36" s="55">
        <f>IFERROR(__xludf.DUMMYFUNCTION("""COMPUTED_VALUE"""),2.0)</f>
        <v>2</v>
      </c>
      <c r="O36" s="55" t="str">
        <f>IFERROR(__xludf.DUMMYFUNCTION("""COMPUTED_VALUE"""),"Aitor Zuñiga")</f>
        <v>Aitor Zuñiga</v>
      </c>
      <c r="Q36" s="10"/>
    </row>
    <row r="37">
      <c r="A37" s="31" t="s">
        <v>34</v>
      </c>
      <c r="B37" s="32">
        <f>COUNT(Partidos!AJ2:AJ294)</f>
        <v>4</v>
      </c>
      <c r="C37" s="32">
        <f>COUNTIF(Partidos!AJ2:AJ294,"&gt;1")</f>
        <v>1</v>
      </c>
      <c r="D37" s="33">
        <f t="shared" si="1"/>
        <v>5</v>
      </c>
      <c r="E37" s="34">
        <f t="shared" si="2"/>
        <v>0.25</v>
      </c>
      <c r="F37" s="35">
        <f t="shared" si="3"/>
        <v>0</v>
      </c>
      <c r="G37" s="36" t="str">
        <f>IFERROR(__xludf.DUMMYFUNCTION("SUBSTITUTE(SUBSTITUTE(TEXTJOIN("""",TRUE,QUERY(Partidos!$A$2:Partidos!$AY$400,""Select AJ WHERE AJ IS NOT NULL Order By A DESC limit 5"")),""1"",""🔴""),""2"",""🟢"")"),"🔴🔴🟢🔴")</f>
        <v>🔴🔴🟢🔴</v>
      </c>
      <c r="H37" s="25"/>
      <c r="I37" s="25"/>
      <c r="J37" s="54">
        <f>IFERROR(__xludf.DUMMYFUNCTION("""COMPUTED_VALUE"""),3.0)</f>
        <v>3</v>
      </c>
      <c r="K37" s="55" t="str">
        <f>IFERROR(__xludf.DUMMYFUNCTION("""COMPUTED_VALUE"""),"Aitor Zuñiga")</f>
        <v>Aitor Zuñiga</v>
      </c>
      <c r="N37" s="55">
        <f>IFERROR(__xludf.DUMMYFUNCTION("""COMPUTED_VALUE"""),2.0)</f>
        <v>2</v>
      </c>
      <c r="O37" s="55" t="str">
        <f>IFERROR(__xludf.DUMMYFUNCTION("""COMPUTED_VALUE"""),"Xabi BK")</f>
        <v>Xabi BK</v>
      </c>
      <c r="Q37" s="10"/>
    </row>
    <row r="38">
      <c r="A38" s="31" t="s">
        <v>35</v>
      </c>
      <c r="B38" s="32">
        <f>COUNT(Partidos!AK2:AK294)</f>
        <v>2</v>
      </c>
      <c r="C38" s="32">
        <f>COUNTIF(Partidos!AK2:AK294,"&gt;1")</f>
        <v>0</v>
      </c>
      <c r="D38" s="33">
        <f t="shared" si="1"/>
        <v>2</v>
      </c>
      <c r="E38" s="34">
        <f t="shared" si="2"/>
        <v>0</v>
      </c>
      <c r="F38" s="35">
        <f t="shared" si="3"/>
        <v>0</v>
      </c>
      <c r="G38" s="36" t="str">
        <f>IFERROR(__xludf.DUMMYFUNCTION("SUBSTITUTE(SUBSTITUTE(TEXTJOIN("""",TRUE,QUERY(Partidos!$A$2:Partidos!$AY$400,""Select AK WHERE AK IS NOT NULL Order By A DESC limit 5"")),""1"",""🔴""),""2"",""🟢"")"),"🔴🔴")</f>
        <v>🔴🔴</v>
      </c>
      <c r="H38" s="25"/>
      <c r="I38" s="25"/>
      <c r="J38" s="54">
        <f>IFERROR(__xludf.DUMMYFUNCTION("""COMPUTED_VALUE"""),3.0)</f>
        <v>3</v>
      </c>
      <c r="K38" s="55" t="str">
        <f>IFERROR(__xludf.DUMMYFUNCTION("""COMPUTED_VALUE"""),"Xabi BK")</f>
        <v>Xabi BK</v>
      </c>
      <c r="N38" s="55">
        <f>IFERROR(__xludf.DUMMYFUNCTION("""COMPUTED_VALUE"""),2.0)</f>
        <v>2</v>
      </c>
      <c r="O38" s="55" t="str">
        <f>IFERROR(__xludf.DUMMYFUNCTION("""COMPUTED_VALUE"""),"Pablo BK")</f>
        <v>Pablo BK</v>
      </c>
      <c r="Q38" s="10"/>
    </row>
    <row r="39">
      <c r="A39" s="31" t="s">
        <v>36</v>
      </c>
      <c r="B39" s="32">
        <f>COUNT(Partidos!AL2:AL295)</f>
        <v>6</v>
      </c>
      <c r="C39" s="32">
        <f>COUNTIF(Partidos!AL2:AL295,"&gt;1")</f>
        <v>3</v>
      </c>
      <c r="D39" s="33">
        <f t="shared" si="1"/>
        <v>9</v>
      </c>
      <c r="E39" s="34">
        <f t="shared" si="2"/>
        <v>0.5</v>
      </c>
      <c r="F39" s="35">
        <f t="shared" si="3"/>
        <v>0</v>
      </c>
      <c r="G39" s="36" t="str">
        <f>IFERROR(__xludf.DUMMYFUNCTION("SUBSTITUTE(SUBSTITUTE(TEXTJOIN("""",TRUE,QUERY(Partidos!$A$2:Partidos!$AY$400,""Select AL WHERE AL IS NOT NULL Order By A DESC limit 5"")),""1"",""🔴""),""2"",""🟢"")"),"🟢🟢🔴🟢🔴")</f>
        <v>🟢🟢🔴🟢🔴</v>
      </c>
      <c r="H39" s="25"/>
      <c r="I39" s="25"/>
      <c r="J39" s="54">
        <f>IFERROR(__xludf.DUMMYFUNCTION("""COMPUTED_VALUE"""),3.0)</f>
        <v>3</v>
      </c>
      <c r="K39" s="55" t="str">
        <f>IFERROR(__xludf.DUMMYFUNCTION("""COMPUTED_VALUE"""),"Pablo BK")</f>
        <v>Pablo BK</v>
      </c>
      <c r="N39" s="55">
        <f>IFERROR(__xludf.DUMMYFUNCTION("""COMPUTED_VALUE"""),2.0)</f>
        <v>2</v>
      </c>
      <c r="O39" s="55" t="str">
        <f>IFERROR(__xludf.DUMMYFUNCTION("""COMPUTED_VALUE"""),"Gio BK")</f>
        <v>Gio BK</v>
      </c>
      <c r="Q39" s="10"/>
    </row>
    <row r="40">
      <c r="A40" s="31" t="s">
        <v>76</v>
      </c>
      <c r="B40" s="32">
        <f>COUNT(Partidos!AM2:AM296)</f>
        <v>8</v>
      </c>
      <c r="C40" s="32">
        <f>COUNTIF(Partidos!AM2:AM296,"&gt;1")</f>
        <v>6</v>
      </c>
      <c r="D40" s="33">
        <f t="shared" si="1"/>
        <v>14</v>
      </c>
      <c r="E40" s="34">
        <f t="shared" si="2"/>
        <v>0.75</v>
      </c>
      <c r="F40" s="35">
        <f t="shared" si="3"/>
        <v>0</v>
      </c>
      <c r="G40" s="36" t="str">
        <f>IFERROR(__xludf.DUMMYFUNCTION("SUBSTITUTE(SUBSTITUTE(TEXTJOIN("""",TRUE,QUERY(Partidos!$A$2:Partidos!$AY$400,""Select AM WHERE AM IS NOT NULL Order By A DESC limit 5"")),""1"",""🔴""),""2"",""🟢"")"),"🟢🟢🔴🟢🟢")</f>
        <v>🟢🟢🔴🟢🟢</v>
      </c>
      <c r="H40" s="25"/>
      <c r="I40" s="25"/>
      <c r="J40" s="54">
        <f>IFERROR(__xludf.DUMMYFUNCTION("""COMPUTED_VALUE"""),3.0)</f>
        <v>3</v>
      </c>
      <c r="K40" s="55" t="str">
        <f>IFERROR(__xludf.DUMMYFUNCTION("""COMPUTED_VALUE"""),"Javi Temprano")</f>
        <v>Javi Temprano</v>
      </c>
      <c r="N40" s="55">
        <f>IFERROR(__xludf.DUMMYFUNCTION("""COMPUTED_VALUE"""),2.0)</f>
        <v>2</v>
      </c>
      <c r="O40" s="55" t="str">
        <f>IFERROR(__xludf.DUMMYFUNCTION("""COMPUTED_VALUE"""),"Korta")</f>
        <v>Korta</v>
      </c>
      <c r="Q40" s="10"/>
    </row>
    <row r="41">
      <c r="A41" s="31" t="s">
        <v>38</v>
      </c>
      <c r="B41" s="32">
        <f>COUNT(Partidos!AN2:AN297)</f>
        <v>4</v>
      </c>
      <c r="C41" s="32">
        <f>COUNTIF(Partidos!AN2:AN297,"&gt;1")</f>
        <v>3</v>
      </c>
      <c r="D41" s="33">
        <f t="shared" si="1"/>
        <v>7</v>
      </c>
      <c r="E41" s="34">
        <f t="shared" si="2"/>
        <v>0.75</v>
      </c>
      <c r="F41" s="35">
        <f t="shared" si="3"/>
        <v>0</v>
      </c>
      <c r="G41" s="36" t="str">
        <f>IFERROR(__xludf.DUMMYFUNCTION("SUBSTITUTE(SUBSTITUTE(TEXTJOIN("""",TRUE,QUERY(Partidos!$A$2:Partidos!$AY$400,""Select AN WHERE AN IS NOT NULL Order By A DESC limit 5"")),""1"",""🔴""),""2"",""🟢"")"),"🟢🔴🟢🟢")</f>
        <v>🟢🔴🟢🟢</v>
      </c>
      <c r="H41" s="25"/>
      <c r="I41" s="25"/>
      <c r="J41" s="54">
        <f>IFERROR(__xludf.DUMMYFUNCTION("""COMPUTED_VALUE"""),3.0)</f>
        <v>3</v>
      </c>
      <c r="K41" s="55" t="str">
        <f>IFERROR(__xludf.DUMMYFUNCTION("""COMPUTED_VALUE"""),"Mikel")</f>
        <v>Mikel</v>
      </c>
      <c r="N41" s="55">
        <f>IFERROR(__xludf.DUMMYFUNCTION("""COMPUTED_VALUE"""),2.0)</f>
        <v>2</v>
      </c>
      <c r="O41" s="55" t="str">
        <f>IFERROR(__xludf.DUMMYFUNCTION("""COMPUTED_VALUE"""),"Javi Temprano")</f>
        <v>Javi Temprano</v>
      </c>
      <c r="Q41" s="10"/>
    </row>
    <row r="42">
      <c r="A42" s="31" t="s">
        <v>39</v>
      </c>
      <c r="B42" s="32">
        <f>COUNT(Partidos!AO2:AO298)</f>
        <v>2</v>
      </c>
      <c r="C42" s="32">
        <f>COUNTIF(Partidos!AO2:AO298,"&gt;1")</f>
        <v>2</v>
      </c>
      <c r="D42" s="33">
        <f t="shared" si="1"/>
        <v>4</v>
      </c>
      <c r="E42" s="34">
        <f t="shared" si="2"/>
        <v>1</v>
      </c>
      <c r="F42" s="35">
        <f t="shared" si="3"/>
        <v>0</v>
      </c>
      <c r="G42" s="36" t="str">
        <f>IFERROR(__xludf.DUMMYFUNCTION("SUBSTITUTE(SUBSTITUTE(TEXTJOIN("""",TRUE,QUERY(Partidos!$A$2:Partidos!$AY$400,""Select AO WHERE AO IS NOT NULL Order By A DESC limit 5"")),""1"",""🔴""),""2"",""🟢"")"),"🟢🟢")</f>
        <v>🟢🟢</v>
      </c>
      <c r="H42" s="25"/>
      <c r="I42" s="25"/>
      <c r="J42" s="54">
        <f>IFERROR(__xludf.DUMMYFUNCTION("""COMPUTED_VALUE"""),3.0)</f>
        <v>3</v>
      </c>
      <c r="K42" s="55" t="str">
        <f>IFERROR(__xludf.DUMMYFUNCTION("""COMPUTED_VALUE"""),"Antonio")</f>
        <v>Antonio</v>
      </c>
      <c r="N42" s="55">
        <f>IFERROR(__xludf.DUMMYFUNCTION("""COMPUTED_VALUE"""),2.0)</f>
        <v>2</v>
      </c>
      <c r="O42" s="55" t="str">
        <f>IFERROR(__xludf.DUMMYFUNCTION("""COMPUTED_VALUE"""),"Mikel")</f>
        <v>Mikel</v>
      </c>
      <c r="Q42" s="10"/>
    </row>
    <row r="43">
      <c r="A43" s="31" t="s">
        <v>40</v>
      </c>
      <c r="B43" s="32">
        <f>COUNT(Partidos!AP2:AP299)</f>
        <v>2</v>
      </c>
      <c r="C43" s="32">
        <f>COUNTIF(Partidos!AP2:AP299,"&gt;1")</f>
        <v>1</v>
      </c>
      <c r="D43" s="33">
        <f t="shared" si="1"/>
        <v>3</v>
      </c>
      <c r="E43" s="34">
        <f t="shared" si="2"/>
        <v>0.5</v>
      </c>
      <c r="F43" s="35">
        <f t="shared" si="3"/>
        <v>0</v>
      </c>
      <c r="G43" s="36" t="str">
        <f>IFERROR(__xludf.DUMMYFUNCTION("SUBSTITUTE(SUBSTITUTE(TEXTJOIN("""",TRUE,QUERY(Partidos!$A$2:Partidos!$AY$400,""Select AP WHERE AP IS NOT NULL Order By A DESC limit 5"")),""1"",""🔴""),""2"",""🟢"")"),"🟢🔴")</f>
        <v>🟢🔴</v>
      </c>
      <c r="H43" s="25"/>
      <c r="I43" s="25"/>
      <c r="J43" s="54">
        <f>IFERROR(__xludf.DUMMYFUNCTION("""COMPUTED_VALUE"""),2.0)</f>
        <v>2</v>
      </c>
      <c r="K43" s="55" t="str">
        <f>IFERROR(__xludf.DUMMYFUNCTION("""COMPUTED_VALUE"""),"Gio BK")</f>
        <v>Gio BK</v>
      </c>
      <c r="N43" s="55">
        <f>IFERROR(__xludf.DUMMYFUNCTION("""COMPUTED_VALUE"""),2.0)</f>
        <v>2</v>
      </c>
      <c r="O43" s="55" t="str">
        <f>IFERROR(__xludf.DUMMYFUNCTION("""COMPUTED_VALUE"""),"Antonio")</f>
        <v>Antonio</v>
      </c>
      <c r="Q43" s="10"/>
    </row>
    <row r="44">
      <c r="A44" s="31" t="s">
        <v>41</v>
      </c>
      <c r="B44" s="32">
        <f>COUNT(Partidos!AQ3:AQ300)</f>
        <v>2</v>
      </c>
      <c r="C44" s="32">
        <f>COUNTIF(Partidos!AQ2:AQ299,"&gt;1")</f>
        <v>1</v>
      </c>
      <c r="D44" s="33">
        <f t="shared" si="1"/>
        <v>3</v>
      </c>
      <c r="E44" s="34">
        <f t="shared" si="2"/>
        <v>0.5</v>
      </c>
      <c r="F44" s="35">
        <f t="shared" si="3"/>
        <v>0</v>
      </c>
      <c r="G44" s="36" t="str">
        <f>IFERROR(__xludf.DUMMYFUNCTION("SUBSTITUTE(SUBSTITUTE(TEXTJOIN("""",TRUE,QUERY(Partidos!$A$2:Partidos!$AY$400,""Select AQ WHERE AQ IS NOT NULL Order By A DESC limit 5"")),""1"",""🔴""),""2"",""🟢"")"),"🟢🔴")</f>
        <v>🟢🔴</v>
      </c>
      <c r="H44" s="59"/>
      <c r="I44" s="25"/>
      <c r="J44" s="54">
        <f>IFERROR(__xludf.DUMMYFUNCTION("""COMPUTED_VALUE"""),0.0)</f>
        <v>0</v>
      </c>
      <c r="K44" s="55" t="str">
        <f>IFERROR(__xludf.DUMMYFUNCTION("""COMPUTED_VALUE"""),"Xabi")</f>
        <v>Xabi</v>
      </c>
      <c r="N44" s="55">
        <f>IFERROR(__xludf.DUMMYFUNCTION("""COMPUTED_VALUE"""),0.0)</f>
        <v>0</v>
      </c>
      <c r="O44" s="55" t="str">
        <f>IFERROR(__xludf.DUMMYFUNCTION("""COMPUTED_VALUE"""),"Xabi")</f>
        <v>Xabi</v>
      </c>
      <c r="Q44" s="10"/>
    </row>
    <row r="45">
      <c r="A45" s="31" t="s">
        <v>42</v>
      </c>
      <c r="B45" s="32">
        <f>COUNT(Partidos!AR4:AR301)</f>
        <v>2</v>
      </c>
      <c r="C45" s="32">
        <f>COUNTIF(Partidos!AR2:AR299,"&gt;1")</f>
        <v>1</v>
      </c>
      <c r="D45" s="33">
        <f t="shared" si="1"/>
        <v>3</v>
      </c>
      <c r="E45" s="34">
        <f t="shared" si="2"/>
        <v>0.5</v>
      </c>
      <c r="F45" s="35">
        <f t="shared" si="3"/>
        <v>0</v>
      </c>
      <c r="G45" s="36" t="str">
        <f>IFERROR(__xludf.DUMMYFUNCTION("SUBSTITUTE(SUBSTITUTE(TEXTJOIN("""",TRUE,QUERY(Partidos!$A$2:Partidos!$AY$400,""Select AR WHERE AR IS NOT NULL Order By A DESC limit 5"")),""1"",""🔴""),""2"",""🟢"")"),"🟢🔴")</f>
        <v>🟢🔴</v>
      </c>
      <c r="H45" s="59"/>
      <c r="I45" s="25"/>
      <c r="J45" s="54">
        <f>IFERROR(__xludf.DUMMYFUNCTION("""COMPUTED_VALUE"""),0.0)</f>
        <v>0</v>
      </c>
      <c r="K45" s="55" t="str">
        <f>IFERROR(__xludf.DUMMYFUNCTION("""COMPUTED_VALUE"""),"Hidalgo")</f>
        <v>Hidalgo</v>
      </c>
      <c r="N45" s="55">
        <f>IFERROR(__xludf.DUMMYFUNCTION("""COMPUTED_VALUE"""),0.0)</f>
        <v>0</v>
      </c>
      <c r="O45" s="55" t="str">
        <f>IFERROR(__xludf.DUMMYFUNCTION("""COMPUTED_VALUE"""),"Hidalgo")</f>
        <v>Hidalgo</v>
      </c>
      <c r="Q45" s="10"/>
    </row>
    <row r="46">
      <c r="A46" s="31" t="s">
        <v>43</v>
      </c>
      <c r="B46" s="32">
        <f>COUNT(Partidos!AS5:AS302)</f>
        <v>3</v>
      </c>
      <c r="C46" s="32">
        <f>COUNTIF(Partidos!AS3:AS300,"&gt;1")</f>
        <v>2</v>
      </c>
      <c r="D46" s="33">
        <f t="shared" si="1"/>
        <v>5</v>
      </c>
      <c r="E46" s="34">
        <f t="shared" si="2"/>
        <v>0.6666666667</v>
      </c>
      <c r="F46" s="35">
        <f t="shared" si="3"/>
        <v>0</v>
      </c>
      <c r="G46" s="36" t="str">
        <f>IFERROR(__xludf.DUMMYFUNCTION("SUBSTITUTE(SUBSTITUTE(TEXTJOIN("""",TRUE,QUERY(Partidos!$A$2:Partidos!$AY$400,""Select AS WHERE AS IS NOT NULL Order By A DESC limit 5"")),""1"",""🔴""),""2"",""🟢"")"),"🟢🟢🔴")</f>
        <v>🟢🟢🔴</v>
      </c>
      <c r="H46" s="59"/>
      <c r="J46" s="54">
        <f>IFERROR(__xludf.DUMMYFUNCTION("""COMPUTED_VALUE"""),0.0)</f>
        <v>0</v>
      </c>
      <c r="K46" s="55" t="str">
        <f>IFERROR(__xludf.DUMMYFUNCTION("""COMPUTED_VALUE"""),"Ricky")</f>
        <v>Ricky</v>
      </c>
      <c r="N46" s="55">
        <f>IFERROR(__xludf.DUMMYFUNCTION("""COMPUTED_VALUE"""),0.0)</f>
        <v>0</v>
      </c>
      <c r="O46" s="55" t="str">
        <f>IFERROR(__xludf.DUMMYFUNCTION("""COMPUTED_VALUE"""),"Ricky")</f>
        <v>Ricky</v>
      </c>
      <c r="Q46" s="10"/>
    </row>
    <row r="47">
      <c r="J47" s="54"/>
      <c r="K47" s="55"/>
      <c r="N47" s="55"/>
      <c r="O47" s="55"/>
      <c r="Q47" s="10"/>
    </row>
    <row r="48">
      <c r="Q48" s="10"/>
    </row>
    <row r="49">
      <c r="Q49" s="10"/>
    </row>
    <row r="50">
      <c r="Q50" s="10"/>
    </row>
    <row r="51">
      <c r="Q51" s="10"/>
    </row>
    <row r="52">
      <c r="Q52" s="10"/>
    </row>
    <row r="53">
      <c r="Q53" s="10"/>
    </row>
    <row r="54">
      <c r="Q54" s="10"/>
    </row>
    <row r="55">
      <c r="Q55" s="10"/>
    </row>
    <row r="56">
      <c r="Q56" s="10"/>
    </row>
    <row r="57">
      <c r="Q57" s="10"/>
    </row>
    <row r="58">
      <c r="Q58" s="10"/>
    </row>
    <row r="59">
      <c r="Q59" s="10"/>
    </row>
    <row r="60">
      <c r="Q60" s="10"/>
    </row>
    <row r="61">
      <c r="Q61" s="10"/>
    </row>
    <row r="62">
      <c r="Q62" s="10"/>
    </row>
    <row r="63">
      <c r="Q63" s="10"/>
    </row>
    <row r="64">
      <c r="Q64" s="10"/>
    </row>
    <row r="65">
      <c r="Q65" s="10"/>
    </row>
    <row r="66">
      <c r="Q66" s="10"/>
    </row>
    <row r="67">
      <c r="Q67" s="10"/>
    </row>
    <row r="68">
      <c r="Q68" s="10"/>
    </row>
    <row r="69">
      <c r="Q69" s="10"/>
    </row>
    <row r="70">
      <c r="Q70" s="10"/>
    </row>
    <row r="71">
      <c r="Q71" s="10"/>
    </row>
    <row r="72">
      <c r="Q72" s="10"/>
    </row>
    <row r="73">
      <c r="Q73" s="10"/>
    </row>
    <row r="74">
      <c r="Q74" s="10"/>
    </row>
    <row r="75">
      <c r="Q75" s="10"/>
    </row>
    <row r="76">
      <c r="Q76" s="10"/>
    </row>
    <row r="77">
      <c r="Q77" s="10"/>
    </row>
    <row r="78">
      <c r="Q78" s="10"/>
    </row>
    <row r="79">
      <c r="Q79" s="10"/>
    </row>
    <row r="80">
      <c r="Q80" s="10"/>
    </row>
    <row r="81">
      <c r="Q81" s="10"/>
    </row>
    <row r="82">
      <c r="Q82" s="10"/>
    </row>
    <row r="83">
      <c r="Q83" s="10"/>
    </row>
    <row r="84">
      <c r="Q84" s="10"/>
    </row>
    <row r="85">
      <c r="Q85" s="10"/>
    </row>
    <row r="86">
      <c r="Q86" s="10"/>
    </row>
    <row r="87">
      <c r="Q87" s="10"/>
    </row>
    <row r="88">
      <c r="Q88" s="10"/>
    </row>
    <row r="89">
      <c r="Q89" s="10"/>
    </row>
    <row r="90">
      <c r="Q90" s="10"/>
    </row>
    <row r="91">
      <c r="Q91" s="10"/>
    </row>
    <row r="92">
      <c r="Q92" s="10"/>
    </row>
    <row r="93">
      <c r="Q93" s="10"/>
    </row>
    <row r="94">
      <c r="Q94" s="10"/>
    </row>
    <row r="95">
      <c r="Q95" s="10"/>
    </row>
    <row r="96">
      <c r="Q96" s="10"/>
    </row>
    <row r="97">
      <c r="Q97" s="10"/>
    </row>
    <row r="98">
      <c r="Q98" s="10"/>
    </row>
    <row r="99">
      <c r="Q99" s="10"/>
    </row>
    <row r="100">
      <c r="Q100" s="10"/>
    </row>
    <row r="101">
      <c r="Q101" s="10"/>
    </row>
    <row r="102">
      <c r="Q102" s="10"/>
    </row>
    <row r="103">
      <c r="Q103" s="10"/>
    </row>
    <row r="104">
      <c r="Q104" s="10"/>
    </row>
    <row r="105">
      <c r="Q105" s="10"/>
    </row>
    <row r="106">
      <c r="Q106" s="10"/>
    </row>
    <row r="107">
      <c r="Q107" s="10"/>
    </row>
    <row r="108">
      <c r="Q108" s="10"/>
    </row>
    <row r="109">
      <c r="Q109" s="10"/>
    </row>
    <row r="110">
      <c r="Q110" s="10"/>
    </row>
    <row r="111">
      <c r="Q111" s="10"/>
    </row>
    <row r="112">
      <c r="Q112" s="10"/>
    </row>
    <row r="113">
      <c r="Q113" s="10"/>
    </row>
    <row r="114">
      <c r="Q114" s="10"/>
    </row>
    <row r="115">
      <c r="Q115" s="10"/>
    </row>
    <row r="116">
      <c r="Q116" s="10"/>
    </row>
    <row r="117">
      <c r="Q117" s="10"/>
    </row>
    <row r="118">
      <c r="Q118" s="10"/>
    </row>
    <row r="119">
      <c r="Q119" s="10"/>
    </row>
    <row r="120">
      <c r="Q120" s="10"/>
    </row>
    <row r="121">
      <c r="Q121" s="10"/>
    </row>
    <row r="122">
      <c r="Q122" s="10"/>
    </row>
    <row r="123">
      <c r="Q123" s="10"/>
    </row>
    <row r="124">
      <c r="Q124" s="10"/>
    </row>
    <row r="125">
      <c r="Q125" s="10"/>
    </row>
    <row r="126">
      <c r="Q126" s="10"/>
    </row>
    <row r="127">
      <c r="Q127" s="10"/>
    </row>
    <row r="128">
      <c r="Q128" s="10"/>
    </row>
    <row r="129">
      <c r="Q129" s="10"/>
    </row>
    <row r="130">
      <c r="Q130" s="10"/>
    </row>
    <row r="131">
      <c r="Q131" s="10"/>
    </row>
    <row r="132">
      <c r="Q132" s="10"/>
    </row>
    <row r="133">
      <c r="Q133" s="10"/>
    </row>
    <row r="134">
      <c r="Q134" s="10"/>
    </row>
    <row r="135">
      <c r="Q135" s="10"/>
    </row>
    <row r="136">
      <c r="Q136" s="10"/>
    </row>
    <row r="137">
      <c r="Q137" s="10"/>
    </row>
    <row r="138">
      <c r="Q138" s="10"/>
    </row>
    <row r="139">
      <c r="Q139" s="10"/>
    </row>
    <row r="140">
      <c r="Q140" s="10"/>
    </row>
    <row r="141">
      <c r="Q141" s="10"/>
    </row>
    <row r="142">
      <c r="Q142" s="10"/>
    </row>
    <row r="143">
      <c r="Q143" s="10"/>
    </row>
    <row r="144">
      <c r="Q144" s="10"/>
    </row>
    <row r="145">
      <c r="Q145" s="10"/>
    </row>
    <row r="146">
      <c r="Q146" s="10"/>
    </row>
    <row r="147">
      <c r="Q147" s="10"/>
    </row>
    <row r="148">
      <c r="Q148" s="10"/>
    </row>
    <row r="149">
      <c r="Q149" s="10"/>
    </row>
    <row r="150">
      <c r="Q150" s="10"/>
    </row>
    <row r="151">
      <c r="Q151" s="10"/>
    </row>
    <row r="152">
      <c r="Q152" s="10"/>
    </row>
    <row r="153">
      <c r="Q153" s="10"/>
    </row>
    <row r="154">
      <c r="Q154" s="10"/>
    </row>
    <row r="155">
      <c r="Q155" s="10"/>
    </row>
    <row r="156">
      <c r="Q156" s="10"/>
    </row>
    <row r="157">
      <c r="Q157" s="10"/>
    </row>
    <row r="158">
      <c r="Q158" s="10"/>
    </row>
    <row r="159">
      <c r="Q159" s="10"/>
    </row>
    <row r="160">
      <c r="Q160" s="10"/>
    </row>
    <row r="161">
      <c r="Q161" s="10"/>
    </row>
    <row r="162">
      <c r="Q162" s="10"/>
    </row>
    <row r="163">
      <c r="Q163" s="10"/>
    </row>
    <row r="164">
      <c r="Q164" s="10"/>
    </row>
    <row r="165">
      <c r="Q165" s="10"/>
    </row>
    <row r="166">
      <c r="Q166" s="10"/>
    </row>
    <row r="167">
      <c r="Q167" s="10"/>
    </row>
    <row r="168">
      <c r="Q168" s="10"/>
    </row>
    <row r="169">
      <c r="Q169" s="10"/>
    </row>
    <row r="170">
      <c r="Q170" s="10"/>
    </row>
    <row r="171">
      <c r="Q171" s="10"/>
    </row>
    <row r="172">
      <c r="Q172" s="10"/>
    </row>
    <row r="173">
      <c r="Q173" s="10"/>
    </row>
    <row r="174">
      <c r="Q174" s="10"/>
    </row>
    <row r="175">
      <c r="Q175" s="10"/>
    </row>
    <row r="176">
      <c r="Q176" s="10"/>
    </row>
    <row r="177">
      <c r="Q177" s="10"/>
    </row>
    <row r="178">
      <c r="Q178" s="10"/>
    </row>
    <row r="179">
      <c r="Q179" s="10"/>
    </row>
    <row r="180">
      <c r="Q180" s="10"/>
    </row>
    <row r="181">
      <c r="Q181" s="10"/>
    </row>
    <row r="182">
      <c r="Q182" s="10"/>
    </row>
    <row r="183">
      <c r="Q183" s="10"/>
    </row>
    <row r="184">
      <c r="Q184" s="10"/>
    </row>
    <row r="185">
      <c r="Q185" s="10"/>
    </row>
    <row r="186">
      <c r="Q186" s="10"/>
    </row>
    <row r="187">
      <c r="Q187" s="10"/>
    </row>
    <row r="188">
      <c r="Q188" s="10"/>
    </row>
    <row r="189">
      <c r="Q189" s="10"/>
    </row>
    <row r="190">
      <c r="Q190" s="10"/>
    </row>
    <row r="191">
      <c r="Q191" s="10"/>
    </row>
    <row r="192">
      <c r="Q192" s="10"/>
    </row>
    <row r="193">
      <c r="Q193" s="10"/>
    </row>
    <row r="194">
      <c r="Q194" s="10"/>
    </row>
    <row r="195">
      <c r="Q195" s="10"/>
    </row>
    <row r="196">
      <c r="Q196" s="10"/>
    </row>
    <row r="197">
      <c r="Q197" s="10"/>
    </row>
    <row r="198">
      <c r="Q198" s="10"/>
    </row>
    <row r="199">
      <c r="Q199" s="10"/>
    </row>
    <row r="200">
      <c r="Q200" s="10"/>
    </row>
    <row r="201">
      <c r="Q201" s="10"/>
    </row>
    <row r="202">
      <c r="Q202" s="10"/>
    </row>
    <row r="203">
      <c r="Q203" s="10"/>
    </row>
    <row r="204">
      <c r="Q204" s="10"/>
    </row>
    <row r="205">
      <c r="Q205" s="10"/>
    </row>
    <row r="206">
      <c r="Q206" s="10"/>
    </row>
    <row r="207">
      <c r="Q207" s="10"/>
    </row>
    <row r="208">
      <c r="Q208" s="10"/>
    </row>
    <row r="209">
      <c r="Q209" s="10"/>
    </row>
    <row r="210">
      <c r="Q210" s="10"/>
    </row>
    <row r="211">
      <c r="Q211" s="10"/>
    </row>
    <row r="212">
      <c r="Q212" s="10"/>
    </row>
    <row r="213">
      <c r="Q213" s="10"/>
    </row>
    <row r="214">
      <c r="Q214" s="10"/>
    </row>
    <row r="215">
      <c r="Q215" s="10"/>
    </row>
    <row r="216">
      <c r="Q216" s="10"/>
    </row>
    <row r="217">
      <c r="Q217" s="10"/>
    </row>
    <row r="218">
      <c r="Q218" s="10"/>
    </row>
    <row r="219">
      <c r="Q219" s="10"/>
    </row>
    <row r="220">
      <c r="Q220" s="10"/>
    </row>
    <row r="221">
      <c r="Q221" s="10"/>
    </row>
    <row r="222">
      <c r="Q222" s="10"/>
    </row>
    <row r="223">
      <c r="Q223" s="10"/>
    </row>
    <row r="224">
      <c r="Q224" s="10"/>
    </row>
    <row r="225">
      <c r="Q225" s="10"/>
    </row>
    <row r="226">
      <c r="Q226" s="10"/>
    </row>
    <row r="227">
      <c r="Q227" s="10"/>
    </row>
    <row r="228">
      <c r="Q228" s="10"/>
    </row>
    <row r="229">
      <c r="Q229" s="10"/>
    </row>
    <row r="230">
      <c r="Q230" s="10"/>
    </row>
    <row r="231">
      <c r="Q231" s="10"/>
    </row>
    <row r="232">
      <c r="Q232" s="10"/>
    </row>
    <row r="233">
      <c r="Q233" s="10"/>
    </row>
    <row r="234">
      <c r="Q234" s="10"/>
    </row>
    <row r="235">
      <c r="Q235" s="10"/>
    </row>
    <row r="236">
      <c r="Q236" s="10"/>
    </row>
    <row r="237">
      <c r="Q237" s="10"/>
    </row>
    <row r="238">
      <c r="Q238" s="10"/>
    </row>
    <row r="239">
      <c r="Q239" s="10"/>
    </row>
    <row r="240">
      <c r="Q240" s="10"/>
    </row>
    <row r="241">
      <c r="Q241" s="10"/>
    </row>
    <row r="242">
      <c r="Q242" s="10"/>
    </row>
    <row r="243">
      <c r="Q243" s="10"/>
    </row>
    <row r="244">
      <c r="Q244" s="10"/>
    </row>
    <row r="245">
      <c r="Q245" s="10"/>
    </row>
    <row r="246">
      <c r="Q246" s="10"/>
    </row>
    <row r="247">
      <c r="Q247" s="10"/>
    </row>
    <row r="248">
      <c r="Q248" s="10"/>
    </row>
    <row r="249">
      <c r="Q249" s="10"/>
    </row>
    <row r="250">
      <c r="Q250" s="10"/>
    </row>
    <row r="251">
      <c r="Q251" s="10"/>
    </row>
    <row r="252">
      <c r="Q252" s="10"/>
    </row>
    <row r="253">
      <c r="Q253" s="10"/>
    </row>
    <row r="254">
      <c r="Q254" s="10"/>
    </row>
    <row r="255">
      <c r="Q255" s="10"/>
    </row>
    <row r="256">
      <c r="Q256" s="10"/>
    </row>
    <row r="257">
      <c r="Q257" s="10"/>
    </row>
    <row r="258">
      <c r="Q258" s="10"/>
    </row>
    <row r="259">
      <c r="Q259" s="10"/>
    </row>
    <row r="260">
      <c r="Q260" s="10"/>
    </row>
    <row r="261">
      <c r="Q261" s="10"/>
    </row>
    <row r="262">
      <c r="Q262" s="10"/>
    </row>
    <row r="263">
      <c r="Q263" s="10"/>
    </row>
    <row r="264">
      <c r="Q264" s="10"/>
    </row>
    <row r="265">
      <c r="Q265" s="10"/>
    </row>
    <row r="266">
      <c r="Q266" s="10"/>
    </row>
    <row r="267">
      <c r="Q267" s="10"/>
    </row>
    <row r="268">
      <c r="Q268" s="10"/>
    </row>
    <row r="269">
      <c r="Q269" s="10"/>
    </row>
    <row r="270">
      <c r="Q270" s="10"/>
    </row>
    <row r="271">
      <c r="Q271" s="10"/>
    </row>
    <row r="272">
      <c r="Q272" s="10"/>
    </row>
    <row r="273">
      <c r="Q273" s="10"/>
    </row>
    <row r="274">
      <c r="Q274" s="10"/>
    </row>
    <row r="275">
      <c r="Q275" s="10"/>
    </row>
    <row r="276">
      <c r="Q276" s="10"/>
    </row>
    <row r="277">
      <c r="Q277" s="10"/>
    </row>
    <row r="278">
      <c r="Q278" s="10"/>
    </row>
    <row r="279">
      <c r="Q279" s="10"/>
    </row>
    <row r="280">
      <c r="Q280" s="10"/>
    </row>
    <row r="281">
      <c r="Q281" s="10"/>
    </row>
    <row r="282">
      <c r="Q282" s="10"/>
    </row>
    <row r="283">
      <c r="Q283" s="10"/>
    </row>
    <row r="284">
      <c r="Q284" s="10"/>
    </row>
    <row r="285">
      <c r="Q285" s="10"/>
    </row>
    <row r="286">
      <c r="Q286" s="10"/>
    </row>
    <row r="287">
      <c r="Q287" s="10"/>
    </row>
    <row r="288">
      <c r="Q288" s="10"/>
    </row>
    <row r="289">
      <c r="Q289" s="10"/>
    </row>
    <row r="290">
      <c r="Q290" s="10"/>
    </row>
    <row r="291">
      <c r="Q291" s="10"/>
    </row>
    <row r="292">
      <c r="Q292" s="10"/>
    </row>
    <row r="293">
      <c r="Q293" s="10"/>
    </row>
    <row r="294">
      <c r="Q294" s="10"/>
    </row>
    <row r="295">
      <c r="Q295" s="10"/>
    </row>
    <row r="296">
      <c r="Q296" s="10"/>
    </row>
    <row r="297">
      <c r="Q297" s="10"/>
    </row>
    <row r="298">
      <c r="Q298" s="10"/>
    </row>
    <row r="299">
      <c r="Q299" s="10"/>
    </row>
    <row r="300">
      <c r="Q300" s="10"/>
    </row>
    <row r="301">
      <c r="Q301" s="10"/>
    </row>
    <row r="302">
      <c r="Q302" s="10"/>
    </row>
    <row r="303">
      <c r="Q303" s="10"/>
    </row>
    <row r="304">
      <c r="Q304" s="10"/>
    </row>
    <row r="305">
      <c r="Q305" s="10"/>
    </row>
    <row r="306">
      <c r="Q306" s="10"/>
    </row>
    <row r="307">
      <c r="Q307" s="10"/>
    </row>
    <row r="308">
      <c r="Q308" s="10"/>
    </row>
    <row r="309">
      <c r="Q309" s="10"/>
    </row>
    <row r="310">
      <c r="Q310" s="10"/>
    </row>
    <row r="311">
      <c r="Q311" s="10"/>
    </row>
    <row r="312">
      <c r="Q312" s="10"/>
    </row>
    <row r="313">
      <c r="Q313" s="10"/>
    </row>
    <row r="314">
      <c r="Q314" s="10"/>
    </row>
    <row r="315">
      <c r="Q315" s="10"/>
    </row>
    <row r="316">
      <c r="Q316" s="10"/>
    </row>
    <row r="317">
      <c r="Q317" s="10"/>
    </row>
    <row r="318">
      <c r="Q318" s="10"/>
    </row>
    <row r="319">
      <c r="Q319" s="10"/>
    </row>
    <row r="320">
      <c r="Q320" s="10"/>
    </row>
    <row r="321">
      <c r="Q321" s="10"/>
    </row>
    <row r="322">
      <c r="Q322" s="10"/>
    </row>
    <row r="323">
      <c r="Q323" s="10"/>
    </row>
    <row r="324">
      <c r="Q324" s="10"/>
    </row>
    <row r="325">
      <c r="Q325" s="10"/>
    </row>
    <row r="326">
      <c r="Q326" s="10"/>
    </row>
    <row r="327">
      <c r="Q327" s="10"/>
    </row>
    <row r="328">
      <c r="Q328" s="10"/>
    </row>
    <row r="329">
      <c r="Q329" s="10"/>
    </row>
    <row r="330">
      <c r="Q330" s="10"/>
    </row>
    <row r="331">
      <c r="Q331" s="10"/>
    </row>
    <row r="332">
      <c r="Q332" s="10"/>
    </row>
    <row r="333">
      <c r="Q333" s="10"/>
    </row>
    <row r="334">
      <c r="Q334" s="10"/>
    </row>
    <row r="335">
      <c r="Q335" s="10"/>
    </row>
    <row r="336">
      <c r="Q336" s="10"/>
    </row>
    <row r="337">
      <c r="Q337" s="10"/>
    </row>
    <row r="338">
      <c r="Q338" s="10"/>
    </row>
    <row r="339">
      <c r="Q339" s="10"/>
    </row>
    <row r="340">
      <c r="Q340" s="10"/>
    </row>
    <row r="341">
      <c r="Q341" s="10"/>
    </row>
    <row r="342">
      <c r="Q342" s="10"/>
    </row>
    <row r="343">
      <c r="Q343" s="10"/>
    </row>
    <row r="344">
      <c r="Q344" s="10"/>
    </row>
    <row r="345">
      <c r="Q345" s="10"/>
    </row>
    <row r="346">
      <c r="Q346" s="10"/>
    </row>
    <row r="347">
      <c r="Q347" s="10"/>
    </row>
    <row r="348">
      <c r="Q348" s="10"/>
    </row>
    <row r="349">
      <c r="Q349" s="10"/>
    </row>
    <row r="350">
      <c r="Q350" s="10"/>
    </row>
    <row r="351">
      <c r="Q351" s="10"/>
    </row>
    <row r="352">
      <c r="Q352" s="10"/>
    </row>
    <row r="353">
      <c r="Q353" s="10"/>
    </row>
    <row r="354">
      <c r="Q354" s="10"/>
    </row>
    <row r="355">
      <c r="Q355" s="10"/>
    </row>
    <row r="356">
      <c r="Q356" s="10"/>
    </row>
    <row r="357">
      <c r="Q357" s="10"/>
    </row>
    <row r="358">
      <c r="Q358" s="10"/>
    </row>
    <row r="359">
      <c r="Q359" s="10"/>
    </row>
    <row r="360">
      <c r="Q360" s="10"/>
    </row>
    <row r="361">
      <c r="Q361" s="10"/>
    </row>
    <row r="362">
      <c r="Q362" s="10"/>
    </row>
    <row r="363">
      <c r="Q363" s="10"/>
    </row>
    <row r="364">
      <c r="Q364" s="10"/>
    </row>
    <row r="365">
      <c r="Q365" s="10"/>
    </row>
    <row r="366">
      <c r="Q366" s="10"/>
    </row>
    <row r="367">
      <c r="Q367" s="10"/>
    </row>
    <row r="368">
      <c r="Q368" s="10"/>
    </row>
    <row r="369">
      <c r="Q369" s="10"/>
    </row>
    <row r="370">
      <c r="Q370" s="10"/>
    </row>
    <row r="371">
      <c r="Q371" s="10"/>
    </row>
    <row r="372">
      <c r="Q372" s="10"/>
    </row>
    <row r="373">
      <c r="Q373" s="10"/>
    </row>
    <row r="374">
      <c r="Q374" s="10"/>
    </row>
    <row r="375">
      <c r="Q375" s="10"/>
    </row>
    <row r="376">
      <c r="Q376" s="10"/>
    </row>
    <row r="377">
      <c r="Q377" s="10"/>
    </row>
    <row r="378">
      <c r="Q378" s="10"/>
    </row>
    <row r="379">
      <c r="Q379" s="10"/>
    </row>
    <row r="380">
      <c r="Q380" s="10"/>
    </row>
    <row r="381">
      <c r="Q381" s="10"/>
    </row>
    <row r="382">
      <c r="Q382" s="10"/>
    </row>
    <row r="383">
      <c r="Q383" s="10"/>
    </row>
    <row r="384">
      <c r="Q384" s="10"/>
    </row>
    <row r="385">
      <c r="Q385" s="10"/>
    </row>
    <row r="386">
      <c r="Q386" s="10"/>
    </row>
    <row r="387">
      <c r="Q387" s="10"/>
    </row>
    <row r="388">
      <c r="Q388" s="10"/>
    </row>
    <row r="389">
      <c r="Q389" s="10"/>
    </row>
    <row r="390">
      <c r="Q390" s="10"/>
    </row>
    <row r="391">
      <c r="Q391" s="10"/>
    </row>
    <row r="392">
      <c r="Q392" s="10"/>
    </row>
    <row r="393">
      <c r="Q393" s="10"/>
    </row>
    <row r="394">
      <c r="Q394" s="10"/>
    </row>
    <row r="395">
      <c r="Q395" s="10"/>
    </row>
    <row r="396">
      <c r="Q396" s="10"/>
    </row>
    <row r="397">
      <c r="Q397" s="10"/>
    </row>
    <row r="398">
      <c r="Q398" s="10"/>
    </row>
    <row r="399">
      <c r="Q399" s="10"/>
    </row>
    <row r="400">
      <c r="Q400" s="10"/>
    </row>
    <row r="401">
      <c r="Q401" s="10"/>
    </row>
    <row r="402">
      <c r="Q402" s="10"/>
    </row>
    <row r="403">
      <c r="Q403" s="10"/>
    </row>
    <row r="404">
      <c r="Q404" s="10"/>
    </row>
    <row r="405">
      <c r="Q405" s="10"/>
    </row>
    <row r="406">
      <c r="Q406" s="10"/>
    </row>
    <row r="407">
      <c r="Q407" s="10"/>
    </row>
    <row r="408">
      <c r="Q408" s="10"/>
    </row>
    <row r="409">
      <c r="Q409" s="10"/>
    </row>
    <row r="410">
      <c r="Q410" s="10"/>
    </row>
    <row r="411">
      <c r="Q411" s="10"/>
    </row>
    <row r="412">
      <c r="Q412" s="10"/>
    </row>
    <row r="413">
      <c r="Q413" s="10"/>
    </row>
    <row r="414">
      <c r="Q414" s="10"/>
    </row>
    <row r="415">
      <c r="Q415" s="10"/>
    </row>
    <row r="416">
      <c r="Q416" s="10"/>
    </row>
    <row r="417">
      <c r="Q417" s="10"/>
    </row>
    <row r="418">
      <c r="Q418" s="10"/>
    </row>
    <row r="419">
      <c r="Q419" s="10"/>
    </row>
    <row r="420">
      <c r="Q420" s="10"/>
    </row>
    <row r="421">
      <c r="Q421" s="10"/>
    </row>
    <row r="422">
      <c r="Q422" s="10"/>
    </row>
    <row r="423">
      <c r="Q423" s="10"/>
    </row>
    <row r="424">
      <c r="Q424" s="10"/>
    </row>
    <row r="425">
      <c r="Q425" s="10"/>
    </row>
    <row r="426">
      <c r="Q426" s="10"/>
    </row>
    <row r="427">
      <c r="Q427" s="10"/>
    </row>
    <row r="428">
      <c r="Q428" s="10"/>
    </row>
    <row r="429">
      <c r="Q429" s="10"/>
    </row>
    <row r="430">
      <c r="Q430" s="10"/>
    </row>
    <row r="431">
      <c r="Q431" s="10"/>
    </row>
    <row r="432">
      <c r="Q432" s="10"/>
    </row>
    <row r="433">
      <c r="Q433" s="10"/>
    </row>
    <row r="434">
      <c r="Q434" s="10"/>
    </row>
    <row r="435">
      <c r="Q435" s="10"/>
    </row>
    <row r="436">
      <c r="Q436" s="10"/>
    </row>
    <row r="437">
      <c r="Q437" s="10"/>
    </row>
    <row r="438">
      <c r="Q438" s="10"/>
    </row>
    <row r="439">
      <c r="Q439" s="10"/>
    </row>
    <row r="440">
      <c r="Q440" s="10"/>
    </row>
    <row r="441">
      <c r="Q441" s="10"/>
    </row>
    <row r="442">
      <c r="Q442" s="10"/>
    </row>
    <row r="443">
      <c r="Q443" s="10"/>
    </row>
    <row r="444">
      <c r="Q444" s="10"/>
    </row>
    <row r="445">
      <c r="Q445" s="10"/>
    </row>
    <row r="446">
      <c r="Q446" s="10"/>
    </row>
    <row r="447">
      <c r="Q447" s="10"/>
    </row>
    <row r="448">
      <c r="Q448" s="10"/>
    </row>
    <row r="449">
      <c r="Q449" s="10"/>
    </row>
    <row r="450">
      <c r="Q450" s="10"/>
    </row>
    <row r="451">
      <c r="Q451" s="10"/>
    </row>
    <row r="452">
      <c r="Q452" s="10"/>
    </row>
    <row r="453">
      <c r="Q453" s="10"/>
    </row>
    <row r="454">
      <c r="Q454" s="10"/>
    </row>
    <row r="455">
      <c r="Q455" s="10"/>
    </row>
    <row r="456">
      <c r="Q456" s="10"/>
    </row>
    <row r="457">
      <c r="Q457" s="10"/>
    </row>
    <row r="458">
      <c r="Q458" s="10"/>
    </row>
    <row r="459">
      <c r="Q459" s="10"/>
    </row>
    <row r="460">
      <c r="Q460" s="10"/>
    </row>
    <row r="461">
      <c r="Q461" s="10"/>
    </row>
    <row r="462">
      <c r="Q462" s="10"/>
    </row>
    <row r="463">
      <c r="Q463" s="10"/>
    </row>
    <row r="464">
      <c r="Q464" s="10"/>
    </row>
    <row r="465">
      <c r="Q465" s="10"/>
    </row>
    <row r="466">
      <c r="Q466" s="10"/>
    </row>
    <row r="467">
      <c r="Q467" s="10"/>
    </row>
    <row r="468">
      <c r="Q468" s="10"/>
    </row>
    <row r="469">
      <c r="Q469" s="10"/>
    </row>
    <row r="470">
      <c r="Q470" s="10"/>
    </row>
    <row r="471">
      <c r="Q471" s="10"/>
    </row>
    <row r="472">
      <c r="Q472" s="10"/>
    </row>
    <row r="473">
      <c r="Q473" s="10"/>
    </row>
    <row r="474">
      <c r="Q474" s="10"/>
    </row>
    <row r="475">
      <c r="Q475" s="10"/>
    </row>
    <row r="476">
      <c r="Q476" s="10"/>
    </row>
    <row r="477">
      <c r="Q477" s="10"/>
    </row>
    <row r="478">
      <c r="Q478" s="10"/>
    </row>
    <row r="479">
      <c r="Q479" s="10"/>
    </row>
    <row r="480">
      <c r="Q480" s="10"/>
    </row>
    <row r="481">
      <c r="Q481" s="10"/>
    </row>
    <row r="482">
      <c r="Q482" s="10"/>
    </row>
    <row r="483">
      <c r="Q483" s="10"/>
    </row>
    <row r="484">
      <c r="Q484" s="10"/>
    </row>
    <row r="485">
      <c r="Q485" s="10"/>
    </row>
    <row r="486">
      <c r="Q486" s="10"/>
    </row>
    <row r="487">
      <c r="Q487" s="10"/>
    </row>
    <row r="488">
      <c r="Q488" s="10"/>
    </row>
    <row r="489">
      <c r="Q489" s="10"/>
    </row>
    <row r="490">
      <c r="Q490" s="10"/>
    </row>
    <row r="491">
      <c r="Q491" s="10"/>
    </row>
    <row r="492">
      <c r="Q492" s="10"/>
    </row>
    <row r="493">
      <c r="Q493" s="10"/>
    </row>
    <row r="494">
      <c r="Q494" s="10"/>
    </row>
    <row r="495">
      <c r="Q495" s="10"/>
    </row>
    <row r="496">
      <c r="Q496" s="10"/>
    </row>
    <row r="497">
      <c r="Q497" s="10"/>
    </row>
    <row r="498">
      <c r="Q498" s="10"/>
    </row>
    <row r="499">
      <c r="Q499" s="10"/>
    </row>
    <row r="500">
      <c r="Q500" s="10"/>
    </row>
    <row r="501">
      <c r="Q501" s="10"/>
    </row>
    <row r="502">
      <c r="Q502" s="10"/>
    </row>
    <row r="503">
      <c r="Q503" s="10"/>
    </row>
    <row r="504">
      <c r="Q504" s="10"/>
    </row>
    <row r="505">
      <c r="Q505" s="10"/>
    </row>
    <row r="506">
      <c r="Q506" s="10"/>
    </row>
    <row r="507">
      <c r="Q507" s="10"/>
    </row>
    <row r="508">
      <c r="Q508" s="10"/>
    </row>
    <row r="509">
      <c r="Q509" s="10"/>
    </row>
    <row r="510">
      <c r="Q510" s="10"/>
    </row>
    <row r="511">
      <c r="Q511" s="10"/>
    </row>
    <row r="512">
      <c r="Q512" s="10"/>
    </row>
    <row r="513">
      <c r="Q513" s="10"/>
    </row>
    <row r="514">
      <c r="Q514" s="10"/>
    </row>
    <row r="515">
      <c r="Q515" s="10"/>
    </row>
    <row r="516">
      <c r="Q516" s="10"/>
    </row>
    <row r="517">
      <c r="Q517" s="10"/>
    </row>
    <row r="518">
      <c r="Q518" s="10"/>
    </row>
    <row r="519">
      <c r="Q519" s="10"/>
    </row>
    <row r="520">
      <c r="Q520" s="10"/>
    </row>
    <row r="521">
      <c r="Q521" s="10"/>
    </row>
    <row r="522">
      <c r="Q522" s="10"/>
    </row>
    <row r="523">
      <c r="Q523" s="10"/>
    </row>
    <row r="524">
      <c r="Q524" s="10"/>
    </row>
    <row r="525">
      <c r="Q525" s="10"/>
    </row>
    <row r="526">
      <c r="Q526" s="10"/>
    </row>
    <row r="527">
      <c r="Q527" s="10"/>
    </row>
    <row r="528">
      <c r="Q528" s="10"/>
    </row>
    <row r="529">
      <c r="Q529" s="10"/>
    </row>
    <row r="530">
      <c r="Q530" s="10"/>
    </row>
    <row r="531">
      <c r="Q531" s="10"/>
    </row>
    <row r="532">
      <c r="Q532" s="10"/>
    </row>
    <row r="533">
      <c r="Q533" s="10"/>
    </row>
    <row r="534">
      <c r="Q534" s="10"/>
    </row>
    <row r="535">
      <c r="Q535" s="10"/>
    </row>
    <row r="536">
      <c r="Q536" s="10"/>
    </row>
    <row r="537">
      <c r="Q537" s="10"/>
    </row>
    <row r="538">
      <c r="Q538" s="10"/>
    </row>
    <row r="539">
      <c r="Q539" s="10"/>
    </row>
    <row r="540">
      <c r="Q540" s="10"/>
    </row>
    <row r="541">
      <c r="Q541" s="10"/>
    </row>
    <row r="542">
      <c r="Q542" s="10"/>
    </row>
    <row r="543">
      <c r="Q543" s="10"/>
    </row>
    <row r="544">
      <c r="Q544" s="10"/>
    </row>
    <row r="545">
      <c r="Q545" s="10"/>
    </row>
    <row r="546">
      <c r="Q546" s="10"/>
    </row>
    <row r="547">
      <c r="Q547" s="10"/>
    </row>
    <row r="548">
      <c r="Q548" s="10"/>
    </row>
    <row r="549">
      <c r="Q549" s="10"/>
    </row>
    <row r="550">
      <c r="Q550" s="10"/>
    </row>
    <row r="551">
      <c r="Q551" s="10"/>
    </row>
    <row r="552">
      <c r="Q552" s="10"/>
    </row>
    <row r="553">
      <c r="Q553" s="10"/>
    </row>
    <row r="554">
      <c r="Q554" s="10"/>
    </row>
    <row r="555">
      <c r="Q555" s="10"/>
    </row>
    <row r="556">
      <c r="Q556" s="10"/>
    </row>
    <row r="557">
      <c r="Q557" s="10"/>
    </row>
    <row r="558">
      <c r="Q558" s="10"/>
    </row>
    <row r="559">
      <c r="Q559" s="10"/>
    </row>
    <row r="560">
      <c r="Q560" s="10"/>
    </row>
    <row r="561">
      <c r="Q561" s="10"/>
    </row>
    <row r="562">
      <c r="Q562" s="10"/>
    </row>
    <row r="563">
      <c r="Q563" s="10"/>
    </row>
    <row r="564">
      <c r="Q564" s="10"/>
    </row>
    <row r="565">
      <c r="Q565" s="10"/>
    </row>
    <row r="566">
      <c r="Q566" s="10"/>
    </row>
    <row r="567">
      <c r="Q567" s="10"/>
    </row>
    <row r="568">
      <c r="Q568" s="10"/>
    </row>
    <row r="569">
      <c r="Q569" s="10"/>
    </row>
    <row r="570">
      <c r="Q570" s="10"/>
    </row>
    <row r="571">
      <c r="Q571" s="10"/>
    </row>
    <row r="572">
      <c r="Q572" s="10"/>
    </row>
    <row r="573">
      <c r="Q573" s="10"/>
    </row>
    <row r="574">
      <c r="Q574" s="10"/>
    </row>
    <row r="575">
      <c r="Q575" s="10"/>
    </row>
    <row r="576">
      <c r="Q576" s="10"/>
    </row>
    <row r="577">
      <c r="Q577" s="10"/>
    </row>
    <row r="578">
      <c r="Q578" s="10"/>
    </row>
    <row r="579">
      <c r="Q579" s="10"/>
    </row>
    <row r="580">
      <c r="Q580" s="10"/>
    </row>
    <row r="581">
      <c r="Q581" s="10"/>
    </row>
    <row r="582">
      <c r="Q582" s="10"/>
    </row>
    <row r="583">
      <c r="Q583" s="10"/>
    </row>
    <row r="584">
      <c r="Q584" s="10"/>
    </row>
    <row r="585">
      <c r="Q585" s="10"/>
    </row>
    <row r="586">
      <c r="Q586" s="10"/>
    </row>
    <row r="587">
      <c r="Q587" s="10"/>
    </row>
    <row r="588">
      <c r="Q588" s="10"/>
    </row>
    <row r="589">
      <c r="Q589" s="10"/>
    </row>
    <row r="590">
      <c r="Q590" s="10"/>
    </row>
    <row r="591">
      <c r="Q591" s="10"/>
    </row>
    <row r="592">
      <c r="Q592" s="10"/>
    </row>
    <row r="593">
      <c r="Q593" s="10"/>
    </row>
    <row r="594">
      <c r="Q594" s="10"/>
    </row>
    <row r="595">
      <c r="Q595" s="10"/>
    </row>
    <row r="596">
      <c r="Q596" s="10"/>
    </row>
    <row r="597">
      <c r="Q597" s="10"/>
    </row>
    <row r="598">
      <c r="Q598" s="10"/>
    </row>
    <row r="599">
      <c r="Q599" s="10"/>
    </row>
    <row r="600">
      <c r="Q600" s="10"/>
    </row>
    <row r="601">
      <c r="Q601" s="10"/>
    </row>
    <row r="602">
      <c r="Q602" s="10"/>
    </row>
    <row r="603">
      <c r="Q603" s="10"/>
    </row>
    <row r="604">
      <c r="Q604" s="10"/>
    </row>
    <row r="605">
      <c r="Q605" s="10"/>
    </row>
    <row r="606">
      <c r="Q606" s="10"/>
    </row>
    <row r="607">
      <c r="Q607" s="10"/>
    </row>
    <row r="608">
      <c r="Q608" s="10"/>
    </row>
    <row r="609">
      <c r="Q609" s="10"/>
    </row>
    <row r="610">
      <c r="Q610" s="10"/>
    </row>
    <row r="611">
      <c r="Q611" s="10"/>
    </row>
    <row r="612">
      <c r="Q612" s="10"/>
    </row>
    <row r="613">
      <c r="Q613" s="10"/>
    </row>
    <row r="614">
      <c r="Q614" s="10"/>
    </row>
    <row r="615">
      <c r="Q615" s="10"/>
    </row>
    <row r="616">
      <c r="Q616" s="10"/>
    </row>
    <row r="617">
      <c r="Q617" s="10"/>
    </row>
    <row r="618">
      <c r="Q618" s="10"/>
    </row>
    <row r="619">
      <c r="Q619" s="10"/>
    </row>
    <row r="620">
      <c r="Q620" s="10"/>
    </row>
    <row r="621">
      <c r="Q621" s="10"/>
    </row>
    <row r="622">
      <c r="Q622" s="10"/>
    </row>
    <row r="623">
      <c r="Q623" s="10"/>
    </row>
    <row r="624">
      <c r="Q624" s="10"/>
    </row>
    <row r="625">
      <c r="Q625" s="10"/>
    </row>
    <row r="626">
      <c r="Q626" s="10"/>
    </row>
    <row r="627">
      <c r="Q627" s="10"/>
    </row>
    <row r="628">
      <c r="Q628" s="10"/>
    </row>
    <row r="629">
      <c r="Q629" s="10"/>
    </row>
    <row r="630">
      <c r="Q630" s="10"/>
    </row>
    <row r="631">
      <c r="Q631" s="10"/>
    </row>
    <row r="632">
      <c r="Q632" s="10"/>
    </row>
    <row r="633">
      <c r="Q633" s="10"/>
    </row>
    <row r="634">
      <c r="Q634" s="10"/>
    </row>
    <row r="635">
      <c r="Q635" s="10"/>
    </row>
    <row r="636">
      <c r="Q636" s="10"/>
    </row>
    <row r="637">
      <c r="Q637" s="10"/>
    </row>
    <row r="638">
      <c r="Q638" s="10"/>
    </row>
    <row r="639">
      <c r="Q639" s="10"/>
    </row>
    <row r="640">
      <c r="Q640" s="10"/>
    </row>
    <row r="641">
      <c r="Q641" s="10"/>
    </row>
    <row r="642">
      <c r="Q642" s="10"/>
    </row>
    <row r="643">
      <c r="Q643" s="10"/>
    </row>
    <row r="644">
      <c r="Q644" s="10"/>
    </row>
    <row r="645">
      <c r="Q645" s="10"/>
    </row>
    <row r="646">
      <c r="Q646" s="10"/>
    </row>
    <row r="647">
      <c r="Q647" s="10"/>
    </row>
    <row r="648">
      <c r="Q648" s="10"/>
    </row>
    <row r="649">
      <c r="Q649" s="10"/>
    </row>
    <row r="650">
      <c r="Q650" s="10"/>
    </row>
    <row r="651">
      <c r="Q651" s="10"/>
    </row>
    <row r="652">
      <c r="Q652" s="10"/>
    </row>
    <row r="653">
      <c r="Q653" s="10"/>
    </row>
    <row r="654">
      <c r="Q654" s="10"/>
    </row>
    <row r="655">
      <c r="Q655" s="10"/>
    </row>
    <row r="656">
      <c r="Q656" s="10"/>
    </row>
    <row r="657">
      <c r="Q657" s="10"/>
    </row>
    <row r="658">
      <c r="Q658" s="10"/>
    </row>
    <row r="659">
      <c r="Q659" s="10"/>
    </row>
    <row r="660">
      <c r="Q660" s="10"/>
    </row>
    <row r="661">
      <c r="Q661" s="10"/>
    </row>
    <row r="662">
      <c r="Q662" s="10"/>
    </row>
    <row r="663">
      <c r="Q663" s="10"/>
    </row>
    <row r="664">
      <c r="Q664" s="10"/>
    </row>
    <row r="665">
      <c r="Q665" s="10"/>
    </row>
    <row r="666">
      <c r="Q666" s="10"/>
    </row>
    <row r="667">
      <c r="Q667" s="10"/>
    </row>
    <row r="668">
      <c r="Q668" s="10"/>
    </row>
    <row r="669">
      <c r="Q669" s="10"/>
    </row>
    <row r="670">
      <c r="Q670" s="10"/>
    </row>
    <row r="671">
      <c r="Q671" s="10"/>
    </row>
    <row r="672">
      <c r="Q672" s="10"/>
    </row>
    <row r="673">
      <c r="Q673" s="10"/>
    </row>
    <row r="674">
      <c r="Q674" s="10"/>
    </row>
    <row r="675">
      <c r="Q675" s="10"/>
    </row>
    <row r="676">
      <c r="Q676" s="10"/>
    </row>
    <row r="677">
      <c r="Q677" s="10"/>
    </row>
    <row r="678">
      <c r="Q678" s="10"/>
    </row>
    <row r="679">
      <c r="Q679" s="10"/>
    </row>
    <row r="680">
      <c r="Q680" s="10"/>
    </row>
    <row r="681">
      <c r="Q681" s="10"/>
    </row>
    <row r="682">
      <c r="Q682" s="10"/>
    </row>
    <row r="683">
      <c r="Q683" s="10"/>
    </row>
    <row r="684">
      <c r="Q684" s="10"/>
    </row>
    <row r="685">
      <c r="Q685" s="10"/>
    </row>
    <row r="686">
      <c r="Q686" s="10"/>
    </row>
    <row r="687">
      <c r="Q687" s="10"/>
    </row>
    <row r="688">
      <c r="Q688" s="10"/>
    </row>
    <row r="689">
      <c r="Q689" s="10"/>
    </row>
    <row r="690">
      <c r="Q690" s="10"/>
    </row>
    <row r="691">
      <c r="Q691" s="10"/>
    </row>
    <row r="692">
      <c r="Q692" s="10"/>
    </row>
    <row r="693">
      <c r="Q693" s="10"/>
    </row>
    <row r="694">
      <c r="Q694" s="10"/>
    </row>
    <row r="695">
      <c r="Q695" s="10"/>
    </row>
    <row r="696">
      <c r="Q696" s="10"/>
    </row>
    <row r="697">
      <c r="Q697" s="10"/>
    </row>
    <row r="698">
      <c r="Q698" s="10"/>
    </row>
    <row r="699">
      <c r="Q699" s="10"/>
    </row>
    <row r="700">
      <c r="Q700" s="10"/>
    </row>
    <row r="701">
      <c r="Q701" s="10"/>
    </row>
    <row r="702">
      <c r="Q702" s="10"/>
    </row>
    <row r="703">
      <c r="Q703" s="10"/>
    </row>
    <row r="704">
      <c r="Q704" s="10"/>
    </row>
    <row r="705">
      <c r="Q705" s="10"/>
    </row>
    <row r="706">
      <c r="Q706" s="10"/>
    </row>
    <row r="707">
      <c r="Q707" s="10"/>
    </row>
    <row r="708">
      <c r="Q708" s="10"/>
    </row>
    <row r="709">
      <c r="Q709" s="10"/>
    </row>
    <row r="710">
      <c r="Q710" s="10"/>
    </row>
    <row r="711">
      <c r="Q711" s="10"/>
    </row>
    <row r="712">
      <c r="Q712" s="10"/>
    </row>
    <row r="713">
      <c r="Q713" s="10"/>
    </row>
    <row r="714">
      <c r="Q714" s="10"/>
    </row>
    <row r="715">
      <c r="Q715" s="10"/>
    </row>
    <row r="716">
      <c r="Q716" s="10"/>
    </row>
    <row r="717">
      <c r="Q717" s="10"/>
    </row>
    <row r="718">
      <c r="Q718" s="10"/>
    </row>
    <row r="719">
      <c r="Q719" s="10"/>
    </row>
    <row r="720">
      <c r="Q720" s="10"/>
    </row>
    <row r="721">
      <c r="Q721" s="10"/>
    </row>
    <row r="722">
      <c r="Q722" s="10"/>
    </row>
    <row r="723">
      <c r="Q723" s="10"/>
    </row>
    <row r="724">
      <c r="Q724" s="10"/>
    </row>
    <row r="725">
      <c r="Q725" s="10"/>
    </row>
    <row r="726">
      <c r="Q726" s="10"/>
    </row>
    <row r="727">
      <c r="Q727" s="10"/>
    </row>
    <row r="728">
      <c r="Q728" s="10"/>
    </row>
    <row r="729">
      <c r="Q729" s="10"/>
    </row>
    <row r="730">
      <c r="Q730" s="10"/>
    </row>
    <row r="731">
      <c r="Q731" s="10"/>
    </row>
    <row r="732">
      <c r="Q732" s="10"/>
    </row>
    <row r="733">
      <c r="Q733" s="10"/>
    </row>
    <row r="734">
      <c r="Q734" s="10"/>
    </row>
    <row r="735">
      <c r="Q735" s="10"/>
    </row>
    <row r="736">
      <c r="Q736" s="10"/>
    </row>
    <row r="737">
      <c r="Q737" s="10"/>
    </row>
    <row r="738">
      <c r="Q738" s="10"/>
    </row>
    <row r="739">
      <c r="Q739" s="10"/>
    </row>
    <row r="740">
      <c r="Q740" s="10"/>
    </row>
    <row r="741">
      <c r="Q741" s="10"/>
    </row>
    <row r="742">
      <c r="Q742" s="10"/>
    </row>
    <row r="743">
      <c r="Q743" s="10"/>
    </row>
    <row r="744">
      <c r="Q744" s="10"/>
    </row>
    <row r="745">
      <c r="Q745" s="10"/>
    </row>
    <row r="746">
      <c r="Q746" s="10"/>
    </row>
    <row r="747">
      <c r="Q747" s="10"/>
    </row>
    <row r="748">
      <c r="Q748" s="10"/>
    </row>
    <row r="749">
      <c r="Q749" s="10"/>
    </row>
    <row r="750">
      <c r="Q750" s="10"/>
    </row>
    <row r="751">
      <c r="Q751" s="10"/>
    </row>
    <row r="752">
      <c r="Q752" s="10"/>
    </row>
    <row r="753">
      <c r="Q753" s="10"/>
    </row>
    <row r="754">
      <c r="Q754" s="10"/>
    </row>
    <row r="755">
      <c r="Q755" s="10"/>
    </row>
    <row r="756">
      <c r="Q756" s="10"/>
    </row>
    <row r="757">
      <c r="Q757" s="10"/>
    </row>
    <row r="758">
      <c r="Q758" s="10"/>
    </row>
    <row r="759">
      <c r="Q759" s="10"/>
    </row>
    <row r="760">
      <c r="Q760" s="10"/>
    </row>
    <row r="761">
      <c r="Q761" s="10"/>
    </row>
    <row r="762">
      <c r="Q762" s="10"/>
    </row>
    <row r="763">
      <c r="Q763" s="10"/>
    </row>
    <row r="764">
      <c r="Q764" s="10"/>
    </row>
    <row r="765">
      <c r="Q765" s="10"/>
    </row>
    <row r="766">
      <c r="Q766" s="10"/>
    </row>
    <row r="767">
      <c r="Q767" s="10"/>
    </row>
    <row r="768">
      <c r="Q768" s="10"/>
    </row>
    <row r="769">
      <c r="Q769" s="10"/>
    </row>
    <row r="770">
      <c r="Q770" s="10"/>
    </row>
    <row r="771">
      <c r="Q771" s="10"/>
    </row>
    <row r="772">
      <c r="Q772" s="10"/>
    </row>
    <row r="773">
      <c r="Q773" s="10"/>
    </row>
    <row r="774">
      <c r="Q774" s="10"/>
    </row>
    <row r="775">
      <c r="Q775" s="10"/>
    </row>
    <row r="776">
      <c r="Q776" s="10"/>
    </row>
    <row r="777">
      <c r="Q777" s="10"/>
    </row>
    <row r="778">
      <c r="Q778" s="10"/>
    </row>
    <row r="779">
      <c r="Q779" s="10"/>
    </row>
    <row r="780">
      <c r="Q780" s="10"/>
    </row>
    <row r="781">
      <c r="Q781" s="10"/>
    </row>
    <row r="782">
      <c r="Q782" s="10"/>
    </row>
    <row r="783">
      <c r="Q783" s="10"/>
    </row>
    <row r="784">
      <c r="Q784" s="10"/>
    </row>
    <row r="785">
      <c r="Q785" s="10"/>
    </row>
    <row r="786">
      <c r="Q786" s="10"/>
    </row>
    <row r="787">
      <c r="Q787" s="10"/>
    </row>
    <row r="788">
      <c r="Q788" s="10"/>
    </row>
    <row r="789">
      <c r="Q789" s="10"/>
    </row>
    <row r="790">
      <c r="Q790" s="10"/>
    </row>
    <row r="791">
      <c r="Q791" s="10"/>
    </row>
    <row r="792">
      <c r="Q792" s="10"/>
    </row>
    <row r="793">
      <c r="Q793" s="10"/>
    </row>
    <row r="794">
      <c r="Q794" s="10"/>
    </row>
    <row r="795">
      <c r="Q795" s="10"/>
    </row>
    <row r="796">
      <c r="Q796" s="10"/>
    </row>
    <row r="797">
      <c r="Q797" s="10"/>
    </row>
    <row r="798">
      <c r="Q798" s="10"/>
    </row>
    <row r="799">
      <c r="Q799" s="10"/>
    </row>
    <row r="800">
      <c r="Q800" s="10"/>
    </row>
    <row r="801">
      <c r="Q801" s="10"/>
    </row>
    <row r="802">
      <c r="Q802" s="10"/>
    </row>
    <row r="803">
      <c r="Q803" s="10"/>
    </row>
    <row r="804">
      <c r="Q804" s="10"/>
    </row>
    <row r="805">
      <c r="Q805" s="10"/>
    </row>
    <row r="806">
      <c r="Q806" s="10"/>
    </row>
    <row r="807">
      <c r="Q807" s="10"/>
    </row>
    <row r="808">
      <c r="Q808" s="10"/>
    </row>
    <row r="809">
      <c r="Q809" s="10"/>
    </row>
    <row r="810">
      <c r="Q810" s="10"/>
    </row>
    <row r="811">
      <c r="Q811" s="10"/>
    </row>
    <row r="812">
      <c r="Q812" s="10"/>
    </row>
    <row r="813">
      <c r="Q813" s="10"/>
    </row>
    <row r="814">
      <c r="Q814" s="10"/>
    </row>
    <row r="815">
      <c r="Q815" s="10"/>
    </row>
    <row r="816">
      <c r="Q816" s="10"/>
    </row>
    <row r="817">
      <c r="Q817" s="10"/>
    </row>
    <row r="818">
      <c r="Q818" s="10"/>
    </row>
    <row r="819">
      <c r="Q819" s="10"/>
    </row>
    <row r="820">
      <c r="Q820" s="10"/>
    </row>
    <row r="821">
      <c r="Q821" s="10"/>
    </row>
    <row r="822">
      <c r="Q822" s="10"/>
    </row>
    <row r="823">
      <c r="Q823" s="10"/>
    </row>
    <row r="824">
      <c r="Q824" s="10"/>
    </row>
    <row r="825">
      <c r="Q825" s="10"/>
    </row>
    <row r="826">
      <c r="Q826" s="10"/>
    </row>
    <row r="827">
      <c r="Q827" s="10"/>
    </row>
    <row r="828">
      <c r="Q828" s="10"/>
    </row>
    <row r="829">
      <c r="Q829" s="10"/>
    </row>
    <row r="830">
      <c r="Q830" s="10"/>
    </row>
    <row r="831">
      <c r="Q831" s="10"/>
    </row>
    <row r="832">
      <c r="Q832" s="10"/>
    </row>
    <row r="833">
      <c r="Q833" s="10"/>
    </row>
    <row r="834">
      <c r="Q834" s="10"/>
    </row>
    <row r="835">
      <c r="Q835" s="10"/>
    </row>
    <row r="836">
      <c r="Q836" s="10"/>
    </row>
    <row r="837">
      <c r="Q837" s="10"/>
    </row>
    <row r="838">
      <c r="Q838" s="10"/>
    </row>
    <row r="839">
      <c r="Q839" s="10"/>
    </row>
    <row r="840">
      <c r="Q840" s="10"/>
    </row>
    <row r="841">
      <c r="Q841" s="10"/>
    </row>
    <row r="842">
      <c r="Q842" s="10"/>
    </row>
    <row r="843">
      <c r="Q843" s="10"/>
    </row>
    <row r="844">
      <c r="Q844" s="10"/>
    </row>
    <row r="845">
      <c r="Q845" s="10"/>
    </row>
    <row r="846">
      <c r="Q846" s="10"/>
    </row>
    <row r="847">
      <c r="Q847" s="10"/>
    </row>
    <row r="848">
      <c r="Q848" s="10"/>
    </row>
    <row r="849">
      <c r="Q849" s="10"/>
    </row>
    <row r="850">
      <c r="Q850" s="10"/>
    </row>
    <row r="851">
      <c r="Q851" s="10"/>
    </row>
    <row r="852">
      <c r="Q852" s="10"/>
    </row>
    <row r="853">
      <c r="Q853" s="10"/>
    </row>
    <row r="854">
      <c r="Q854" s="10"/>
    </row>
    <row r="855">
      <c r="Q855" s="10"/>
    </row>
    <row r="856">
      <c r="Q856" s="10"/>
    </row>
    <row r="857">
      <c r="Q857" s="10"/>
    </row>
    <row r="858">
      <c r="Q858" s="10"/>
    </row>
    <row r="859">
      <c r="Q859" s="10"/>
    </row>
    <row r="860">
      <c r="Q860" s="10"/>
    </row>
    <row r="861">
      <c r="Q861" s="10"/>
    </row>
    <row r="862">
      <c r="Q862" s="10"/>
    </row>
    <row r="863">
      <c r="Q863" s="10"/>
    </row>
    <row r="864">
      <c r="Q864" s="10"/>
    </row>
    <row r="865">
      <c r="Q865" s="10"/>
    </row>
    <row r="866">
      <c r="Q866" s="10"/>
    </row>
    <row r="867">
      <c r="Q867" s="10"/>
    </row>
    <row r="868">
      <c r="Q868" s="10"/>
    </row>
    <row r="869">
      <c r="Q869" s="10"/>
    </row>
    <row r="870">
      <c r="Q870" s="10"/>
    </row>
    <row r="871">
      <c r="Q871" s="10"/>
    </row>
    <row r="872">
      <c r="Q872" s="10"/>
    </row>
    <row r="873">
      <c r="Q873" s="10"/>
    </row>
    <row r="874">
      <c r="Q874" s="10"/>
    </row>
    <row r="875">
      <c r="Q875" s="10"/>
    </row>
    <row r="876">
      <c r="Q876" s="10"/>
    </row>
    <row r="877">
      <c r="Q877" s="10"/>
    </row>
    <row r="878">
      <c r="Q878" s="10"/>
    </row>
    <row r="879">
      <c r="Q879" s="10"/>
    </row>
    <row r="880">
      <c r="Q880" s="10"/>
    </row>
    <row r="881">
      <c r="Q881" s="10"/>
    </row>
    <row r="882">
      <c r="Q882" s="10"/>
    </row>
    <row r="883">
      <c r="Q883" s="10"/>
    </row>
    <row r="884">
      <c r="Q884" s="10"/>
    </row>
    <row r="885">
      <c r="Q885" s="10"/>
    </row>
    <row r="886">
      <c r="Q886" s="10"/>
    </row>
    <row r="887">
      <c r="Q887" s="10"/>
    </row>
    <row r="888">
      <c r="Q888" s="10"/>
    </row>
    <row r="889">
      <c r="Q889" s="10"/>
    </row>
    <row r="890">
      <c r="Q890" s="10"/>
    </row>
    <row r="891">
      <c r="Q891" s="10"/>
    </row>
    <row r="892">
      <c r="Q892" s="10"/>
    </row>
    <row r="893">
      <c r="Q893" s="10"/>
    </row>
    <row r="894">
      <c r="Q894" s="10"/>
    </row>
    <row r="895">
      <c r="Q895" s="10"/>
    </row>
    <row r="896">
      <c r="Q896" s="10"/>
    </row>
    <row r="897">
      <c r="Q897" s="10"/>
    </row>
    <row r="898">
      <c r="Q898" s="10"/>
    </row>
    <row r="899">
      <c r="Q899" s="10"/>
    </row>
    <row r="900">
      <c r="Q900" s="10"/>
    </row>
    <row r="901">
      <c r="Q901" s="10"/>
    </row>
    <row r="902">
      <c r="Q902" s="10"/>
    </row>
    <row r="903">
      <c r="Q903" s="10"/>
    </row>
    <row r="904">
      <c r="Q904" s="10"/>
    </row>
    <row r="905">
      <c r="Q905" s="10"/>
    </row>
    <row r="906">
      <c r="Q906" s="10"/>
    </row>
    <row r="907">
      <c r="Q907" s="10"/>
    </row>
    <row r="908">
      <c r="Q908" s="10"/>
    </row>
    <row r="909">
      <c r="Q909" s="10"/>
    </row>
    <row r="910">
      <c r="Q910" s="10"/>
    </row>
    <row r="911">
      <c r="Q911" s="10"/>
    </row>
    <row r="912">
      <c r="Q912" s="10"/>
    </row>
    <row r="913">
      <c r="Q913" s="10"/>
    </row>
    <row r="914">
      <c r="Q914" s="10"/>
    </row>
    <row r="915">
      <c r="Q915" s="10"/>
    </row>
    <row r="916">
      <c r="Q916" s="10"/>
    </row>
    <row r="917">
      <c r="Q917" s="10"/>
    </row>
    <row r="918">
      <c r="Q918" s="10"/>
    </row>
    <row r="919">
      <c r="Q919" s="10"/>
    </row>
    <row r="920">
      <c r="Q920" s="10"/>
    </row>
    <row r="921">
      <c r="Q921" s="10"/>
    </row>
    <row r="922">
      <c r="Q922" s="10"/>
    </row>
    <row r="923">
      <c r="Q923" s="10"/>
    </row>
    <row r="924">
      <c r="Q924" s="10"/>
    </row>
    <row r="925">
      <c r="Q925" s="10"/>
    </row>
    <row r="926">
      <c r="Q926" s="10"/>
    </row>
    <row r="927">
      <c r="Q927" s="10"/>
    </row>
    <row r="928">
      <c r="Q928" s="10"/>
    </row>
    <row r="929">
      <c r="Q929" s="10"/>
    </row>
    <row r="930">
      <c r="Q930" s="10"/>
    </row>
    <row r="931">
      <c r="Q931" s="10"/>
    </row>
    <row r="932">
      <c r="Q932" s="10"/>
    </row>
    <row r="933">
      <c r="Q933" s="10"/>
    </row>
    <row r="934">
      <c r="Q934" s="10"/>
    </row>
    <row r="935">
      <c r="Q935" s="10"/>
    </row>
    <row r="936">
      <c r="Q936" s="10"/>
    </row>
    <row r="937">
      <c r="Q937" s="10"/>
    </row>
    <row r="938">
      <c r="Q938" s="10"/>
    </row>
    <row r="939">
      <c r="Q939" s="10"/>
    </row>
    <row r="940">
      <c r="Q940" s="10"/>
    </row>
    <row r="941">
      <c r="Q941" s="10"/>
    </row>
    <row r="942">
      <c r="Q942" s="10"/>
    </row>
    <row r="943">
      <c r="Q943" s="10"/>
    </row>
    <row r="944">
      <c r="Q944" s="10"/>
    </row>
    <row r="945">
      <c r="Q945" s="10"/>
    </row>
    <row r="946">
      <c r="Q946" s="10"/>
    </row>
    <row r="947">
      <c r="Q947" s="10"/>
    </row>
    <row r="948">
      <c r="Q948" s="10"/>
    </row>
    <row r="949">
      <c r="Q949" s="10"/>
    </row>
    <row r="950">
      <c r="Q950" s="10"/>
    </row>
    <row r="951">
      <c r="Q951" s="10"/>
    </row>
    <row r="952">
      <c r="Q952" s="10"/>
    </row>
    <row r="953">
      <c r="Q953" s="10"/>
    </row>
    <row r="954">
      <c r="Q954" s="10"/>
    </row>
    <row r="955">
      <c r="Q955" s="10"/>
    </row>
    <row r="956">
      <c r="Q956" s="10"/>
    </row>
    <row r="957">
      <c r="Q957" s="10"/>
    </row>
    <row r="958">
      <c r="Q958" s="10"/>
    </row>
    <row r="959">
      <c r="Q959" s="10"/>
    </row>
    <row r="960">
      <c r="Q960" s="10"/>
    </row>
    <row r="961">
      <c r="Q961" s="10"/>
    </row>
    <row r="962">
      <c r="Q962" s="10"/>
    </row>
    <row r="963">
      <c r="Q963" s="10"/>
    </row>
    <row r="964">
      <c r="Q964" s="10"/>
    </row>
    <row r="965">
      <c r="Q965" s="10"/>
    </row>
    <row r="966">
      <c r="Q966" s="10"/>
    </row>
    <row r="967">
      <c r="Q967" s="10"/>
    </row>
    <row r="968">
      <c r="Q968" s="10"/>
    </row>
    <row r="969">
      <c r="Q969" s="10"/>
    </row>
    <row r="970">
      <c r="Q970" s="10"/>
    </row>
    <row r="971">
      <c r="Q971" s="10"/>
    </row>
    <row r="972">
      <c r="Q972" s="10"/>
    </row>
  </sheetData>
  <mergeCells count="3">
    <mergeCell ref="J5:K5"/>
    <mergeCell ref="N5:O5"/>
    <mergeCell ref="R5:S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77</v>
      </c>
    </row>
    <row r="2">
      <c r="A2" s="3" t="s">
        <v>78</v>
      </c>
    </row>
    <row r="3">
      <c r="A3" s="3" t="s">
        <v>79</v>
      </c>
    </row>
    <row r="4">
      <c r="A4" s="3" t="s">
        <v>80</v>
      </c>
    </row>
    <row r="5">
      <c r="A5" s="3" t="s">
        <v>81</v>
      </c>
    </row>
    <row r="6">
      <c r="A6" s="3" t="s">
        <v>82</v>
      </c>
    </row>
    <row r="7">
      <c r="A7" s="3" t="s">
        <v>83</v>
      </c>
    </row>
  </sheetData>
  <drawing r:id="rId1"/>
</worksheet>
</file>